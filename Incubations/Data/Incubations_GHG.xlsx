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incubations\data\"/>
    </mc:Choice>
  </mc:AlternateContent>
  <xr:revisionPtr revIDLastSave="0" documentId="13_ncr:1_{F66A4641-5490-4138-B3BA-22B101C58415}" xr6:coauthVersionLast="47" xr6:coauthVersionMax="47" xr10:uidLastSave="{00000000-0000-0000-0000-000000000000}"/>
  <bookViews>
    <workbookView xWindow="-108" yWindow="-108" windowWidth="23256" windowHeight="12576" xr2:uid="{BD668895-7881-4941-89F3-E4D28EA2F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L8" i="1"/>
  <c r="O8" i="1" s="1"/>
  <c r="L5" i="1"/>
  <c r="L2" i="1"/>
  <c r="O26" i="1" s="1"/>
  <c r="L29" i="1"/>
  <c r="P26" i="1"/>
  <c r="P23" i="1"/>
  <c r="P20" i="1"/>
  <c r="P17" i="1"/>
  <c r="O17" i="1"/>
  <c r="P14" i="1"/>
  <c r="I38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P11" i="1"/>
  <c r="P8" i="1"/>
  <c r="P5" i="1"/>
  <c r="N35" i="1"/>
  <c r="N32" i="1"/>
  <c r="N29" i="1"/>
  <c r="N26" i="1"/>
  <c r="N23" i="1"/>
  <c r="N20" i="1"/>
  <c r="N17" i="1"/>
  <c r="N14" i="1"/>
  <c r="N11" i="1"/>
  <c r="N8" i="1"/>
  <c r="N5" i="1"/>
  <c r="N2" i="1"/>
  <c r="T2" i="1"/>
  <c r="I10" i="1" s="1"/>
  <c r="U2" i="1"/>
  <c r="J3" i="1" s="1"/>
  <c r="U8" i="1"/>
  <c r="J48" i="1" s="1"/>
  <c r="T8" i="1"/>
  <c r="I54" i="1" s="1"/>
  <c r="U21" i="1"/>
  <c r="T21" i="1"/>
  <c r="U18" i="1"/>
  <c r="J72" i="1" s="1"/>
  <c r="T18" i="1"/>
  <c r="I30" i="1" s="1"/>
  <c r="U15" i="1"/>
  <c r="T15" i="1"/>
  <c r="U12" i="1"/>
  <c r="J20" i="1" s="1"/>
  <c r="T12" i="1"/>
  <c r="I24" i="1" s="1"/>
  <c r="O11" i="1" l="1"/>
  <c r="O20" i="1"/>
  <c r="O23" i="1"/>
  <c r="O5" i="1"/>
  <c r="O14" i="1"/>
  <c r="I12" i="1"/>
  <c r="J11" i="1"/>
  <c r="J10" i="1"/>
  <c r="J9" i="1"/>
  <c r="I9" i="1"/>
  <c r="I7" i="1"/>
  <c r="J8" i="1"/>
  <c r="J7" i="1"/>
  <c r="J6" i="1"/>
  <c r="I4" i="1"/>
  <c r="J5" i="1"/>
  <c r="I5" i="1"/>
  <c r="J67" i="1"/>
  <c r="I2" i="1"/>
  <c r="I3" i="1"/>
  <c r="J4" i="1"/>
  <c r="I6" i="1"/>
  <c r="J32" i="1"/>
  <c r="J2" i="1"/>
  <c r="I32" i="1"/>
  <c r="J31" i="1"/>
  <c r="I65" i="1"/>
  <c r="J69" i="1"/>
  <c r="I50" i="1"/>
  <c r="J68" i="1"/>
  <c r="I49" i="1"/>
  <c r="I62" i="1"/>
  <c r="I56" i="1"/>
  <c r="I26" i="1"/>
  <c r="I22" i="1"/>
  <c r="I68" i="1"/>
  <c r="J36" i="1"/>
  <c r="I47" i="1"/>
  <c r="I67" i="1"/>
  <c r="I36" i="1"/>
  <c r="I13" i="1"/>
  <c r="I66" i="1"/>
  <c r="J35" i="1"/>
  <c r="I63" i="1"/>
  <c r="J64" i="1"/>
  <c r="J15" i="1"/>
  <c r="I58" i="1"/>
  <c r="J59" i="1"/>
  <c r="I70" i="1"/>
  <c r="J71" i="1"/>
  <c r="J27" i="1"/>
  <c r="J23" i="1"/>
  <c r="J37" i="1"/>
  <c r="J33" i="1"/>
  <c r="J29" i="1"/>
  <c r="I16" i="1"/>
  <c r="I53" i="1"/>
  <c r="J18" i="1"/>
  <c r="J55" i="1"/>
  <c r="I57" i="1"/>
  <c r="J58" i="1"/>
  <c r="I69" i="1"/>
  <c r="J70" i="1"/>
  <c r="I27" i="1"/>
  <c r="I23" i="1"/>
  <c r="I37" i="1"/>
  <c r="I33" i="1"/>
  <c r="I29" i="1"/>
  <c r="I15" i="1"/>
  <c r="I52" i="1"/>
  <c r="J17" i="1"/>
  <c r="J54" i="1"/>
  <c r="J63" i="1"/>
  <c r="J25" i="1"/>
  <c r="J21" i="1"/>
  <c r="M20" i="1" s="1"/>
  <c r="J14" i="1"/>
  <c r="M14" i="1" s="1"/>
  <c r="I64" i="1"/>
  <c r="J56" i="1"/>
  <c r="J57" i="1"/>
  <c r="J26" i="1"/>
  <c r="J22" i="1"/>
  <c r="I14" i="1"/>
  <c r="I51" i="1"/>
  <c r="J16" i="1"/>
  <c r="J53" i="1"/>
  <c r="J52" i="1"/>
  <c r="J51" i="1"/>
  <c r="I61" i="1"/>
  <c r="J62" i="1"/>
  <c r="I73" i="1"/>
  <c r="J65" i="1"/>
  <c r="J66" i="1"/>
  <c r="I25" i="1"/>
  <c r="I21" i="1"/>
  <c r="I35" i="1"/>
  <c r="I31" i="1"/>
  <c r="I19" i="1"/>
  <c r="I11" i="1"/>
  <c r="I48" i="1"/>
  <c r="J13" i="1"/>
  <c r="J50" i="1"/>
  <c r="I60" i="1"/>
  <c r="J61" i="1"/>
  <c r="I72" i="1"/>
  <c r="J73" i="1"/>
  <c r="J28" i="1"/>
  <c r="J24" i="1"/>
  <c r="I20" i="1"/>
  <c r="L20" i="1" s="1"/>
  <c r="J34" i="1"/>
  <c r="J30" i="1"/>
  <c r="I18" i="1"/>
  <c r="I55" i="1"/>
  <c r="J47" i="1"/>
  <c r="J12" i="1"/>
  <c r="J49" i="1"/>
  <c r="I59" i="1"/>
  <c r="J60" i="1"/>
  <c r="I71" i="1"/>
  <c r="I28" i="1"/>
  <c r="I34" i="1"/>
  <c r="I17" i="1"/>
  <c r="J19" i="1"/>
  <c r="M35" i="1" l="1"/>
  <c r="L14" i="1"/>
  <c r="L17" i="1"/>
  <c r="L23" i="1"/>
  <c r="L32" i="1"/>
  <c r="L11" i="1"/>
  <c r="L26" i="1"/>
  <c r="M2" i="1"/>
  <c r="M5" i="1"/>
  <c r="M17" i="1"/>
  <c r="M32" i="1"/>
  <c r="M26" i="1"/>
  <c r="L35" i="1"/>
  <c r="M11" i="1"/>
  <c r="M29" i="1"/>
  <c r="M23" i="1"/>
  <c r="M8" i="1"/>
</calcChain>
</file>

<file path=xl/sharedStrings.xml><?xml version="1.0" encoding="utf-8"?>
<sst xmlns="http://schemas.openxmlformats.org/spreadsheetml/2006/main" count="397" uniqueCount="110">
  <si>
    <t>site</t>
  </si>
  <si>
    <t>timepoint</t>
  </si>
  <si>
    <t>rep</t>
  </si>
  <si>
    <t>TO</t>
  </si>
  <si>
    <t>T1</t>
  </si>
  <si>
    <t>a</t>
  </si>
  <si>
    <t>b</t>
  </si>
  <si>
    <t>c</t>
  </si>
  <si>
    <t>treatment</t>
  </si>
  <si>
    <t>T2</t>
  </si>
  <si>
    <t>T3</t>
  </si>
  <si>
    <t>PA</t>
  </si>
  <si>
    <t>CO2_ppm</t>
  </si>
  <si>
    <t>CH4_ppm</t>
  </si>
  <si>
    <t>day 0 capped air</t>
  </si>
  <si>
    <t>day 1 capped air</t>
  </si>
  <si>
    <t>need to add last air sample</t>
  </si>
  <si>
    <t>3 of these samples are processing air, not capped air</t>
  </si>
  <si>
    <t>sample_name</t>
  </si>
  <si>
    <t>vial_name</t>
  </si>
  <si>
    <t>TO-T1</t>
  </si>
  <si>
    <t>TO-T1-0a</t>
  </si>
  <si>
    <t>TO-T1-0b</t>
  </si>
  <si>
    <t>TO-T1-0c</t>
  </si>
  <si>
    <t>TO-T2</t>
  </si>
  <si>
    <t>TO-T2-0a</t>
  </si>
  <si>
    <t>TO-T2-0b</t>
  </si>
  <si>
    <t>TO-T2-0c</t>
  </si>
  <si>
    <t>TO-T3</t>
  </si>
  <si>
    <t>TO-T3-0a</t>
  </si>
  <si>
    <t>TO-T3-0b</t>
  </si>
  <si>
    <t>TO-T3-0c</t>
  </si>
  <si>
    <t>TO-T1-1a</t>
  </si>
  <si>
    <t>TO-T1-1b</t>
  </si>
  <si>
    <t>TO-T1-1c</t>
  </si>
  <si>
    <t>TO-T2-1a</t>
  </si>
  <si>
    <t>TO-T2-1b</t>
  </si>
  <si>
    <t>TO-T2-1c</t>
  </si>
  <si>
    <t>TO-T3-1a</t>
  </si>
  <si>
    <t>TO-T3-1b</t>
  </si>
  <si>
    <t>TO-T3-1c</t>
  </si>
  <si>
    <t>TO-T1-3a</t>
  </si>
  <si>
    <t>TO-T1-3b</t>
  </si>
  <si>
    <t>TO-T1-3c</t>
  </si>
  <si>
    <t>TO-T2-3a</t>
  </si>
  <si>
    <t>TO-T2-3b</t>
  </si>
  <si>
    <t>TO-T2-3c</t>
  </si>
  <si>
    <t>TO-T3-3a</t>
  </si>
  <si>
    <t>TO-T3-3b</t>
  </si>
  <si>
    <t>TO-T3-3c</t>
  </si>
  <si>
    <t>TO-T1-7a</t>
  </si>
  <si>
    <t>TO-T1-7b</t>
  </si>
  <si>
    <t>TO-T1-7c</t>
  </si>
  <si>
    <t>TO-T2-7a</t>
  </si>
  <si>
    <t>TO-T2-7b</t>
  </si>
  <si>
    <t>TO-T2-7c</t>
  </si>
  <si>
    <t>TO-T3-7a</t>
  </si>
  <si>
    <t>TO-T3-7b</t>
  </si>
  <si>
    <t>TO-T3-7c</t>
  </si>
  <si>
    <t>PA-T1</t>
  </si>
  <si>
    <t>PA-T1-0a</t>
  </si>
  <si>
    <t>PA-T1-0b</t>
  </si>
  <si>
    <t>PA-T1-0c</t>
  </si>
  <si>
    <t>PA-T2</t>
  </si>
  <si>
    <t>PA-T2-0a</t>
  </si>
  <si>
    <t>PA-T2-0b</t>
  </si>
  <si>
    <t>PA-T2-0c</t>
  </si>
  <si>
    <t>PA-T3</t>
  </si>
  <si>
    <t>PA-T3-0a</t>
  </si>
  <si>
    <t>PA-T3-0b</t>
  </si>
  <si>
    <t>PA-T3-0c</t>
  </si>
  <si>
    <t>PA-T1-1a</t>
  </si>
  <si>
    <t>PA-T1-1b</t>
  </si>
  <si>
    <t>PA-T1-1c</t>
  </si>
  <si>
    <t>PA-T2-1a</t>
  </si>
  <si>
    <t>PA-T2-1b</t>
  </si>
  <si>
    <t>PA-T2-1c</t>
  </si>
  <si>
    <t>PA-T3-1a</t>
  </si>
  <si>
    <t>PA-T3-1b</t>
  </si>
  <si>
    <t>PA-T3-1c</t>
  </si>
  <si>
    <t>PA-T1-3a</t>
  </si>
  <si>
    <t>PA-T1-3b</t>
  </si>
  <si>
    <t>PA-T1-3c</t>
  </si>
  <si>
    <t>PA-T2-3a</t>
  </si>
  <si>
    <t>PA-T2-3b</t>
  </si>
  <si>
    <t>PA-T2-3c</t>
  </si>
  <si>
    <t>PA-T3-3a</t>
  </si>
  <si>
    <t>PA-T3-3b</t>
  </si>
  <si>
    <t>PA-T3-3c</t>
  </si>
  <si>
    <t>PA-T1-7a</t>
  </si>
  <si>
    <t>PA-T1-7b</t>
  </si>
  <si>
    <t>PA-T1-7c</t>
  </si>
  <si>
    <t>PA-T2-7a</t>
  </si>
  <si>
    <t>PA-T2-7b</t>
  </si>
  <si>
    <t>PA-T2-7c</t>
  </si>
  <si>
    <t>PA-T3-7a</t>
  </si>
  <si>
    <t>PA-T3-7b</t>
  </si>
  <si>
    <t>PA-T3-7c</t>
  </si>
  <si>
    <t>CO2_ppm_corrected</t>
  </si>
  <si>
    <t>CH4_ppm_corrected</t>
  </si>
  <si>
    <t>day 3 air</t>
  </si>
  <si>
    <t>day 3 capped air</t>
  </si>
  <si>
    <t>day 7 air</t>
  </si>
  <si>
    <t>day 7 capped air</t>
  </si>
  <si>
    <t>AFDM_g</t>
  </si>
  <si>
    <t>CH4 avg</t>
  </si>
  <si>
    <t>CO2 avg</t>
  </si>
  <si>
    <t>AFDM avg</t>
  </si>
  <si>
    <t>CH4 production</t>
  </si>
  <si>
    <t>CO2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</si>
</sst>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B0A2-8CEA-4D70-BDE1-A1289872EF21}">
  <dimension ref="A1:U73"/>
  <sheetViews>
    <sheetView tabSelected="1" workbookViewId="0">
      <selection activeCell="M15" sqref="M15"/>
    </sheetView>
  </sheetViews>
  <sheetFormatPr defaultRowHeight="14.4" x14ac:dyDescent="0.3"/>
  <cols>
    <col min="3" max="3" width="11.44140625" customWidth="1"/>
    <col min="7" max="7" width="12" customWidth="1"/>
    <col min="8" max="8" width="15.77734375" customWidth="1"/>
    <col min="9" max="9" width="20.77734375" customWidth="1"/>
    <col min="10" max="10" width="21.88671875" customWidth="1"/>
    <col min="12" max="12" width="16.6640625" customWidth="1"/>
    <col min="13" max="13" width="16.5546875" customWidth="1"/>
    <col min="14" max="16" width="22.77734375" customWidth="1"/>
    <col min="17" max="17" width="21.77734375" customWidth="1"/>
  </cols>
  <sheetData>
    <row r="1" spans="1:21" x14ac:dyDescent="0.3">
      <c r="A1" t="s">
        <v>0</v>
      </c>
      <c r="B1" t="s">
        <v>8</v>
      </c>
      <c r="C1" t="s">
        <v>18</v>
      </c>
      <c r="D1" t="s">
        <v>1</v>
      </c>
      <c r="E1" t="s">
        <v>2</v>
      </c>
      <c r="F1" t="s">
        <v>19</v>
      </c>
      <c r="G1" t="s">
        <v>12</v>
      </c>
      <c r="H1" t="s">
        <v>13</v>
      </c>
      <c r="I1" t="s">
        <v>99</v>
      </c>
      <c r="J1" t="s">
        <v>98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</row>
    <row r="2" spans="1:21" x14ac:dyDescent="0.3">
      <c r="A2" t="s">
        <v>11</v>
      </c>
      <c r="B2" t="s">
        <v>4</v>
      </c>
      <c r="C2" t="s">
        <v>59</v>
      </c>
      <c r="D2">
        <v>0</v>
      </c>
      <c r="E2" t="s">
        <v>5</v>
      </c>
      <c r="F2" t="s">
        <v>60</v>
      </c>
      <c r="G2" s="1">
        <v>9071.3012340000005</v>
      </c>
      <c r="H2" s="1">
        <v>170.0114198</v>
      </c>
      <c r="I2" s="1">
        <f>H2-$T$2</f>
        <v>168.66341528028667</v>
      </c>
      <c r="J2" s="1">
        <f>G2-$U$2</f>
        <v>8464.9700125579329</v>
      </c>
      <c r="K2" s="1">
        <v>1.6499999999999986</v>
      </c>
      <c r="L2" s="1">
        <f>AVERAGE(I2:I4)</f>
        <v>186.53439594695337</v>
      </c>
      <c r="M2" s="1">
        <f t="shared" ref="M2:N2" si="0">AVERAGE(J2:J4)</f>
        <v>7253.5548265579337</v>
      </c>
      <c r="N2" s="1">
        <f t="shared" si="0"/>
        <v>1.6399999999999981</v>
      </c>
      <c r="O2" s="1"/>
      <c r="P2" s="1"/>
      <c r="Q2" t="s">
        <v>14</v>
      </c>
      <c r="R2">
        <v>1.4201702134400005</v>
      </c>
      <c r="S2">
        <v>537.83340847620002</v>
      </c>
      <c r="T2">
        <f>AVERAGE(R2:R4)</f>
        <v>1.3480045197133335</v>
      </c>
      <c r="U2">
        <f>AVERAGE(S2:S4)</f>
        <v>606.33122144206664</v>
      </c>
    </row>
    <row r="3" spans="1:21" x14ac:dyDescent="0.3">
      <c r="A3" t="s">
        <v>11</v>
      </c>
      <c r="B3" t="s">
        <v>4</v>
      </c>
      <c r="C3" t="s">
        <v>59</v>
      </c>
      <c r="D3">
        <v>0</v>
      </c>
      <c r="E3" t="s">
        <v>6</v>
      </c>
      <c r="F3" t="s">
        <v>61</v>
      </c>
      <c r="G3" s="1">
        <v>7122.7918369999998</v>
      </c>
      <c r="H3" s="1">
        <v>195.28994560000001</v>
      </c>
      <c r="I3" s="1">
        <f>H3-$T$2</f>
        <v>193.94194108028668</v>
      </c>
      <c r="J3" s="1">
        <f t="shared" ref="J3:J10" si="1">G3-$U$2</f>
        <v>6516.4606155579331</v>
      </c>
      <c r="K3" s="1">
        <v>1.6000000000000014</v>
      </c>
      <c r="L3" s="1"/>
      <c r="M3" s="1"/>
      <c r="Q3" t="s">
        <v>14</v>
      </c>
      <c r="R3">
        <v>1.5438321293600001</v>
      </c>
      <c r="S3">
        <v>620.52483321379998</v>
      </c>
    </row>
    <row r="4" spans="1:21" x14ac:dyDescent="0.3">
      <c r="A4" t="s">
        <v>11</v>
      </c>
      <c r="B4" t="s">
        <v>4</v>
      </c>
      <c r="C4" t="s">
        <v>59</v>
      </c>
      <c r="D4">
        <v>0</v>
      </c>
      <c r="E4" t="s">
        <v>7</v>
      </c>
      <c r="F4" t="s">
        <v>62</v>
      </c>
      <c r="G4" s="1">
        <v>7385.5650729999998</v>
      </c>
      <c r="H4" s="1">
        <v>198.34583599999999</v>
      </c>
      <c r="I4" s="1">
        <f>H4-$T$2</f>
        <v>196.99783148028666</v>
      </c>
      <c r="J4" s="1">
        <f t="shared" si="1"/>
        <v>6779.2338515579331</v>
      </c>
      <c r="K4" s="1">
        <v>1.6699999999999946</v>
      </c>
      <c r="L4" s="1"/>
      <c r="M4" s="1"/>
      <c r="Q4" t="s">
        <v>14</v>
      </c>
      <c r="R4">
        <v>1.08001121634</v>
      </c>
      <c r="S4">
        <v>660.63542263619991</v>
      </c>
    </row>
    <row r="5" spans="1:21" x14ac:dyDescent="0.3">
      <c r="A5" t="s">
        <v>11</v>
      </c>
      <c r="B5" t="s">
        <v>9</v>
      </c>
      <c r="C5" t="s">
        <v>63</v>
      </c>
      <c r="D5">
        <v>0</v>
      </c>
      <c r="E5" t="s">
        <v>5</v>
      </c>
      <c r="F5" t="s">
        <v>64</v>
      </c>
      <c r="G5" s="1">
        <v>8968.0867749999998</v>
      </c>
      <c r="H5" s="1">
        <v>139.0889923</v>
      </c>
      <c r="I5" s="1">
        <f>H5-$T$2</f>
        <v>137.74098778028667</v>
      </c>
      <c r="J5" s="1">
        <f t="shared" si="1"/>
        <v>8361.755553557934</v>
      </c>
      <c r="K5" s="1">
        <v>1.7199999999999989</v>
      </c>
      <c r="L5" s="1">
        <f>AVERAGE(I5:I7)</f>
        <v>195.35842978028666</v>
      </c>
      <c r="M5" s="1">
        <f t="shared" ref="M5" si="2">AVERAGE(J5:J7)</f>
        <v>8425.9562108912669</v>
      </c>
      <c r="N5" s="1">
        <f t="shared" ref="N5" si="3">AVERAGE(K5:K7)</f>
        <v>1.7043333333333333</v>
      </c>
      <c r="O5" s="1">
        <f>L5-L2</f>
        <v>8.8240338333332886</v>
      </c>
      <c r="P5" s="1">
        <f>M5-M2</f>
        <v>1172.4013843333332</v>
      </c>
      <c r="Q5" t="s">
        <v>15</v>
      </c>
      <c r="R5">
        <v>1.57343928386</v>
      </c>
      <c r="S5">
        <v>899.97551042819998</v>
      </c>
      <c r="T5" t="s">
        <v>17</v>
      </c>
    </row>
    <row r="6" spans="1:21" x14ac:dyDescent="0.3">
      <c r="A6" t="s">
        <v>11</v>
      </c>
      <c r="B6" t="s">
        <v>9</v>
      </c>
      <c r="C6" t="s">
        <v>63</v>
      </c>
      <c r="D6">
        <v>0</v>
      </c>
      <c r="E6" t="s">
        <v>6</v>
      </c>
      <c r="F6" t="s">
        <v>65</v>
      </c>
      <c r="G6" s="1">
        <v>8696.9998049999995</v>
      </c>
      <c r="H6" s="1">
        <v>263.0869204</v>
      </c>
      <c r="I6" s="1">
        <f>H6-$T$2</f>
        <v>261.73891588028664</v>
      </c>
      <c r="J6" s="1">
        <f t="shared" si="1"/>
        <v>8090.6685835579328</v>
      </c>
      <c r="K6" s="1">
        <v>1.6829999999999998</v>
      </c>
      <c r="L6" s="1"/>
      <c r="M6" s="1"/>
      <c r="Q6" t="s">
        <v>15</v>
      </c>
      <c r="R6">
        <v>2.1358865011399999</v>
      </c>
      <c r="S6">
        <v>1152.0259600488</v>
      </c>
    </row>
    <row r="7" spans="1:21" x14ac:dyDescent="0.3">
      <c r="A7" t="s">
        <v>11</v>
      </c>
      <c r="B7" t="s">
        <v>9</v>
      </c>
      <c r="C7" t="s">
        <v>63</v>
      </c>
      <c r="D7">
        <v>0</v>
      </c>
      <c r="E7" t="s">
        <v>7</v>
      </c>
      <c r="F7" t="s">
        <v>66</v>
      </c>
      <c r="G7" s="1">
        <v>9431.7757170000004</v>
      </c>
      <c r="H7" s="1">
        <v>187.94339020000001</v>
      </c>
      <c r="I7" s="1">
        <f>H7-$T$2</f>
        <v>186.59538568028668</v>
      </c>
      <c r="J7" s="1">
        <f t="shared" si="1"/>
        <v>8825.4444955579347</v>
      </c>
      <c r="K7" s="1">
        <v>1.7100000000000009</v>
      </c>
      <c r="L7" s="1"/>
      <c r="M7" s="1"/>
      <c r="Q7" t="s">
        <v>15</v>
      </c>
      <c r="R7">
        <v>1.5384504960000003</v>
      </c>
      <c r="S7">
        <v>1079.4753293497999</v>
      </c>
    </row>
    <row r="8" spans="1:21" x14ac:dyDescent="0.3">
      <c r="A8" t="s">
        <v>11</v>
      </c>
      <c r="B8" t="s">
        <v>10</v>
      </c>
      <c r="C8" t="s">
        <v>67</v>
      </c>
      <c r="D8">
        <v>0</v>
      </c>
      <c r="E8" t="s">
        <v>5</v>
      </c>
      <c r="F8" t="s">
        <v>68</v>
      </c>
      <c r="G8" s="1">
        <v>7152.5121499999996</v>
      </c>
      <c r="H8" s="1">
        <v>63.308411360000001</v>
      </c>
      <c r="I8" s="1">
        <f>H8-$T$2</f>
        <v>61.960406840286666</v>
      </c>
      <c r="J8" s="1">
        <f t="shared" si="1"/>
        <v>6546.1809285579329</v>
      </c>
      <c r="K8" s="1">
        <v>1.7299999999999969</v>
      </c>
      <c r="L8" s="1">
        <f>AVERAGE(I8:I10)</f>
        <v>136.92292480028667</v>
      </c>
      <c r="M8" s="1">
        <f t="shared" ref="M8" si="4">AVERAGE(J8:J10)</f>
        <v>6753.1074215579329</v>
      </c>
      <c r="N8" s="1">
        <f t="shared" ref="N8" si="5">AVERAGE(K8:K10)</f>
        <v>1.7533333333333327</v>
      </c>
      <c r="O8" s="1">
        <f>L8-L2</f>
        <v>-49.611471146666702</v>
      </c>
      <c r="P8" s="1">
        <f>M8-M2</f>
        <v>-500.4474050000008</v>
      </c>
      <c r="Q8" t="s">
        <v>15</v>
      </c>
      <c r="R8">
        <v>1.4282277499399996</v>
      </c>
      <c r="S8">
        <v>945.37027822019991</v>
      </c>
      <c r="T8">
        <f>AVERAGE(R5,R7:R8)</f>
        <v>1.5133725099333333</v>
      </c>
      <c r="U8">
        <f>AVERAGE(S5,S7:S8)</f>
        <v>974.94037266606665</v>
      </c>
    </row>
    <row r="9" spans="1:21" x14ac:dyDescent="0.3">
      <c r="A9" t="s">
        <v>11</v>
      </c>
      <c r="B9" t="s">
        <v>10</v>
      </c>
      <c r="C9" t="s">
        <v>67</v>
      </c>
      <c r="D9">
        <v>0</v>
      </c>
      <c r="E9" t="s">
        <v>6</v>
      </c>
      <c r="F9" t="s">
        <v>69</v>
      </c>
      <c r="G9" s="1">
        <v>6558.8150960000003</v>
      </c>
      <c r="H9" s="1">
        <v>207.20389979999999</v>
      </c>
      <c r="I9" s="1">
        <f>H9-$T$2</f>
        <v>205.85589528028666</v>
      </c>
      <c r="J9" s="1">
        <f t="shared" si="1"/>
        <v>5952.4838745579336</v>
      </c>
      <c r="K9" s="1">
        <v>1.7100000000000009</v>
      </c>
      <c r="L9" s="1"/>
      <c r="M9" s="1"/>
      <c r="Q9" t="s">
        <v>16</v>
      </c>
    </row>
    <row r="10" spans="1:21" x14ac:dyDescent="0.3">
      <c r="A10" t="s">
        <v>11</v>
      </c>
      <c r="B10" t="s">
        <v>10</v>
      </c>
      <c r="C10" t="s">
        <v>67</v>
      </c>
      <c r="D10">
        <v>0</v>
      </c>
      <c r="E10" t="s">
        <v>7</v>
      </c>
      <c r="F10" t="s">
        <v>70</v>
      </c>
      <c r="G10" s="1">
        <v>8366.9886829999996</v>
      </c>
      <c r="H10" s="1">
        <v>144.30047680000001</v>
      </c>
      <c r="I10" s="1">
        <f>H10-$T$2</f>
        <v>142.95247228028668</v>
      </c>
      <c r="J10" s="1">
        <f t="shared" si="1"/>
        <v>7760.6574615579329</v>
      </c>
      <c r="K10" s="1">
        <v>1.8200000000000003</v>
      </c>
      <c r="L10" s="1"/>
      <c r="M10" s="1"/>
    </row>
    <row r="11" spans="1:21" x14ac:dyDescent="0.3">
      <c r="A11" t="s">
        <v>11</v>
      </c>
      <c r="B11" t="s">
        <v>4</v>
      </c>
      <c r="C11" t="s">
        <v>59</v>
      </c>
      <c r="D11">
        <v>1</v>
      </c>
      <c r="E11" t="s">
        <v>5</v>
      </c>
      <c r="F11" t="s">
        <v>71</v>
      </c>
      <c r="G11" s="1">
        <v>9124.6303260000004</v>
      </c>
      <c r="H11" s="1">
        <v>116.0593587</v>
      </c>
      <c r="I11" s="1">
        <f>H11-$T$8</f>
        <v>114.54598619006667</v>
      </c>
      <c r="J11" s="1">
        <f>G11-$U$8</f>
        <v>8149.6899533339338</v>
      </c>
      <c r="K11" s="1">
        <v>1.740000000000002</v>
      </c>
      <c r="L11" s="1">
        <f>AVERAGE(I11:I13)</f>
        <v>62.16770835706668</v>
      </c>
      <c r="M11" s="1">
        <f t="shared" ref="M11" si="6">AVERAGE(J11:J13)</f>
        <v>7541.736431333934</v>
      </c>
      <c r="N11" s="1">
        <f t="shared" ref="N11" si="7">AVERAGE(K11:K13)</f>
        <v>1.7200000000000013</v>
      </c>
      <c r="O11" s="1">
        <f>L11-L2</f>
        <v>-124.36668758988668</v>
      </c>
      <c r="P11" s="1">
        <f>M11-M2</f>
        <v>288.18160477600031</v>
      </c>
    </row>
    <row r="12" spans="1:21" x14ac:dyDescent="0.3">
      <c r="A12" t="s">
        <v>11</v>
      </c>
      <c r="B12" t="s">
        <v>4</v>
      </c>
      <c r="C12" t="s">
        <v>59</v>
      </c>
      <c r="D12">
        <v>1</v>
      </c>
      <c r="E12" t="s">
        <v>6</v>
      </c>
      <c r="F12" t="s">
        <v>72</v>
      </c>
      <c r="G12" s="1">
        <v>8571.4073869999993</v>
      </c>
      <c r="H12" s="1">
        <v>9.2258963210000005</v>
      </c>
      <c r="I12" s="1">
        <f>H12-$T$8</f>
        <v>7.7125238110666672</v>
      </c>
      <c r="J12" s="1">
        <f>G12-$U$8</f>
        <v>7596.4670143339326</v>
      </c>
      <c r="K12" s="1">
        <v>1.7199999999999989</v>
      </c>
      <c r="L12" s="1"/>
      <c r="M12" s="1"/>
      <c r="O12" s="1"/>
      <c r="P12" s="1"/>
      <c r="Q12" t="s">
        <v>100</v>
      </c>
      <c r="R12">
        <v>2.1630517979400006</v>
      </c>
      <c r="T12">
        <f>AVERAGE(R12:R14)</f>
        <v>2.1630517979400006</v>
      </c>
      <c r="U12">
        <f>AVERAGE(S12:S14)</f>
        <v>755.15570976739991</v>
      </c>
    </row>
    <row r="13" spans="1:21" x14ac:dyDescent="0.3">
      <c r="A13" t="s">
        <v>11</v>
      </c>
      <c r="B13" t="s">
        <v>4</v>
      </c>
      <c r="C13" t="s">
        <v>59</v>
      </c>
      <c r="D13">
        <v>1</v>
      </c>
      <c r="E13" t="s">
        <v>7</v>
      </c>
      <c r="F13" t="s">
        <v>73</v>
      </c>
      <c r="G13" s="1">
        <v>7853.9926990000004</v>
      </c>
      <c r="H13" s="1">
        <v>65.757987580000005</v>
      </c>
      <c r="I13" s="1">
        <f>H13-$T$8</f>
        <v>64.244615070066672</v>
      </c>
      <c r="J13" s="1">
        <f>G13-$U$8</f>
        <v>6879.0523263339337</v>
      </c>
      <c r="K13" s="1">
        <v>1.7000000000000028</v>
      </c>
      <c r="L13" s="1"/>
      <c r="M13" s="1"/>
      <c r="Q13" t="s">
        <v>100</v>
      </c>
      <c r="S13">
        <v>829.62242514499997</v>
      </c>
    </row>
    <row r="14" spans="1:21" x14ac:dyDescent="0.3">
      <c r="A14" t="s">
        <v>11</v>
      </c>
      <c r="B14" t="s">
        <v>9</v>
      </c>
      <c r="C14" t="s">
        <v>63</v>
      </c>
      <c r="D14">
        <v>1</v>
      </c>
      <c r="E14" t="s">
        <v>5</v>
      </c>
      <c r="F14" t="s">
        <v>74</v>
      </c>
      <c r="G14" s="1">
        <v>7328.370629</v>
      </c>
      <c r="H14" s="1">
        <v>77.402923090000002</v>
      </c>
      <c r="I14" s="1">
        <f>H14-$T$8</f>
        <v>75.889550580066668</v>
      </c>
      <c r="J14" s="1">
        <f>G14-$U$8</f>
        <v>6353.4302563339334</v>
      </c>
      <c r="K14" s="1">
        <v>1.7000000000000028</v>
      </c>
      <c r="L14" s="1">
        <f>AVERAGE(I14:I16)</f>
        <v>56.284840956733341</v>
      </c>
      <c r="M14" s="1">
        <f t="shared" ref="M14" si="8">AVERAGE(J14:J16)</f>
        <v>6054.1061386672664</v>
      </c>
      <c r="N14" s="1">
        <f t="shared" ref="N14" si="9">AVERAGE(K14:K16)</f>
        <v>1.753333333333335</v>
      </c>
      <c r="O14" s="1">
        <f>L14-L2</f>
        <v>-130.24955499022002</v>
      </c>
      <c r="P14" s="1">
        <f>M14-M2</f>
        <v>-1199.4486878906673</v>
      </c>
      <c r="Q14" t="s">
        <v>100</v>
      </c>
      <c r="S14">
        <v>680.68899438979997</v>
      </c>
    </row>
    <row r="15" spans="1:21" x14ac:dyDescent="0.3">
      <c r="A15" t="s">
        <v>11</v>
      </c>
      <c r="B15" t="s">
        <v>9</v>
      </c>
      <c r="C15" t="s">
        <v>63</v>
      </c>
      <c r="D15">
        <v>1</v>
      </c>
      <c r="E15" t="s">
        <v>6</v>
      </c>
      <c r="F15" t="s">
        <v>75</v>
      </c>
      <c r="G15" s="1">
        <v>7169.3792700000004</v>
      </c>
      <c r="H15" s="1">
        <v>33.785606799999996</v>
      </c>
      <c r="I15" s="1">
        <f>H15-$T$8</f>
        <v>32.272234290066663</v>
      </c>
      <c r="J15" s="1">
        <f>G15-$U$8</f>
        <v>6194.4388973339337</v>
      </c>
      <c r="K15" s="1">
        <v>1.7800000000000011</v>
      </c>
      <c r="L15" s="1"/>
      <c r="M15" s="1"/>
      <c r="O15" s="1"/>
      <c r="P15" s="1"/>
      <c r="Q15" t="s">
        <v>101</v>
      </c>
      <c r="R15">
        <v>2.39441822624</v>
      </c>
      <c r="S15">
        <v>871.54965961999994</v>
      </c>
      <c r="T15">
        <f>AVERAGE(R15:R17)</f>
        <v>1.7225803221133333</v>
      </c>
      <c r="U15">
        <f>AVERAGE(S15:S17)</f>
        <v>1029.6056218040001</v>
      </c>
    </row>
    <row r="16" spans="1:21" x14ac:dyDescent="0.3">
      <c r="A16" t="s">
        <v>11</v>
      </c>
      <c r="B16" t="s">
        <v>9</v>
      </c>
      <c r="C16" t="s">
        <v>63</v>
      </c>
      <c r="D16">
        <v>1</v>
      </c>
      <c r="E16" t="s">
        <v>7</v>
      </c>
      <c r="F16" t="s">
        <v>76</v>
      </c>
      <c r="G16" s="1">
        <v>6589.3896350000005</v>
      </c>
      <c r="H16" s="1">
        <v>62.206110510000002</v>
      </c>
      <c r="I16" s="1">
        <f>H16-$T$8</f>
        <v>60.692738000066669</v>
      </c>
      <c r="J16" s="1">
        <f>G16-$U$8</f>
        <v>5614.4492623339338</v>
      </c>
      <c r="K16" s="1">
        <v>1.7800000000000011</v>
      </c>
      <c r="L16" s="1"/>
      <c r="M16" s="1"/>
      <c r="Q16" t="s">
        <v>101</v>
      </c>
      <c r="R16">
        <v>1.3047918798599998</v>
      </c>
      <c r="S16">
        <v>531.48746799679998</v>
      </c>
    </row>
    <row r="17" spans="1:21" x14ac:dyDescent="0.3">
      <c r="A17" t="s">
        <v>11</v>
      </c>
      <c r="B17" t="s">
        <v>10</v>
      </c>
      <c r="C17" t="s">
        <v>67</v>
      </c>
      <c r="D17">
        <v>1</v>
      </c>
      <c r="E17" t="s">
        <v>5</v>
      </c>
      <c r="F17" t="s">
        <v>77</v>
      </c>
      <c r="G17" s="1">
        <v>7375.9330049999999</v>
      </c>
      <c r="H17" s="1">
        <v>10.71853121</v>
      </c>
      <c r="I17" s="1">
        <f>H17-$T$8</f>
        <v>9.2051587000666668</v>
      </c>
      <c r="J17" s="1">
        <f>G17-$U$8</f>
        <v>6400.9926323339332</v>
      </c>
      <c r="K17" s="1">
        <v>1.7800000000000011</v>
      </c>
      <c r="L17" s="1">
        <f>AVERAGE(I17:I19)</f>
        <v>35.049819383399999</v>
      </c>
      <c r="M17" s="1">
        <f t="shared" ref="M17" si="10">AVERAGE(J17:J19)</f>
        <v>6207.7734210005992</v>
      </c>
      <c r="N17" s="1">
        <f t="shared" ref="N17" si="11">AVERAGE(K17:K19)</f>
        <v>1.740000000000002</v>
      </c>
      <c r="O17" s="1">
        <f>L17-L2</f>
        <v>-151.48457656355336</v>
      </c>
      <c r="P17" s="1">
        <f>M17-M2</f>
        <v>-1045.7814055573344</v>
      </c>
      <c r="Q17" t="s">
        <v>101</v>
      </c>
      <c r="R17">
        <v>1.4685308602400005</v>
      </c>
      <c r="S17">
        <v>1685.7797377951999</v>
      </c>
    </row>
    <row r="18" spans="1:21" x14ac:dyDescent="0.3">
      <c r="A18" t="s">
        <v>11</v>
      </c>
      <c r="B18" t="s">
        <v>10</v>
      </c>
      <c r="C18" t="s">
        <v>67</v>
      </c>
      <c r="D18">
        <v>1</v>
      </c>
      <c r="E18" t="s">
        <v>6</v>
      </c>
      <c r="F18" t="s">
        <v>78</v>
      </c>
      <c r="G18" s="1">
        <v>8105.9834389999996</v>
      </c>
      <c r="H18" s="1">
        <v>45.597924910000003</v>
      </c>
      <c r="I18" s="1">
        <f>H18-$T$8</f>
        <v>44.08455240006667</v>
      </c>
      <c r="J18" s="1">
        <f>G18-$U$8</f>
        <v>7131.043066333933</v>
      </c>
      <c r="K18" s="1">
        <v>1.7100000000000009</v>
      </c>
      <c r="L18" s="1"/>
      <c r="M18" s="1"/>
      <c r="O18" s="1"/>
      <c r="P18" s="1"/>
      <c r="Q18" t="s">
        <v>102</v>
      </c>
      <c r="R18">
        <v>2.6731478285599994</v>
      </c>
      <c r="S18">
        <v>1400.4231780968</v>
      </c>
      <c r="T18">
        <f>AVERAGE(R18:R20)</f>
        <v>2.2310148727533332</v>
      </c>
      <c r="U18">
        <f>AVERAGE(S18:S20)</f>
        <v>1302.4533090646</v>
      </c>
    </row>
    <row r="19" spans="1:21" x14ac:dyDescent="0.3">
      <c r="A19" t="s">
        <v>11</v>
      </c>
      <c r="B19" t="s">
        <v>10</v>
      </c>
      <c r="C19" t="s">
        <v>67</v>
      </c>
      <c r="D19">
        <v>1</v>
      </c>
      <c r="E19" t="s">
        <v>7</v>
      </c>
      <c r="F19" t="s">
        <v>79</v>
      </c>
      <c r="G19" s="1">
        <v>6066.224937</v>
      </c>
      <c r="H19" s="1">
        <v>53.373119559999999</v>
      </c>
      <c r="I19" s="1">
        <f>H19-$T$8</f>
        <v>51.859747050066666</v>
      </c>
      <c r="J19" s="1">
        <f>G19-$U$8</f>
        <v>5091.2845643339333</v>
      </c>
      <c r="K19" s="1">
        <v>1.730000000000004</v>
      </c>
      <c r="L19" s="1"/>
      <c r="M19" s="1"/>
      <c r="O19" s="1"/>
      <c r="P19" s="1"/>
      <c r="Q19" t="s">
        <v>102</v>
      </c>
      <c r="R19">
        <v>1.8378224843400002</v>
      </c>
      <c r="S19">
        <v>1279.9235881087998</v>
      </c>
    </row>
    <row r="20" spans="1:21" x14ac:dyDescent="0.3">
      <c r="A20" t="s">
        <v>11</v>
      </c>
      <c r="B20" t="s">
        <v>4</v>
      </c>
      <c r="C20" t="s">
        <v>59</v>
      </c>
      <c r="D20">
        <v>3</v>
      </c>
      <c r="E20" t="s">
        <v>5</v>
      </c>
      <c r="F20" t="s">
        <v>80</v>
      </c>
      <c r="G20" s="1">
        <v>2296.5291670000001</v>
      </c>
      <c r="H20" s="1">
        <v>18.484930389999999</v>
      </c>
      <c r="I20" s="1">
        <f>H20-$T$12</f>
        <v>16.321878592059999</v>
      </c>
      <c r="J20" s="1">
        <f>G20-$U$12</f>
        <v>1541.3734572326002</v>
      </c>
      <c r="K20" s="1">
        <v>1.720000000000006</v>
      </c>
      <c r="L20" s="1">
        <f>AVERAGE(I20:I22)</f>
        <v>68.391001472059997</v>
      </c>
      <c r="M20" s="1">
        <f t="shared" ref="M20" si="12">AVERAGE(J20:J22)</f>
        <v>5311.7271298992673</v>
      </c>
      <c r="N20" s="1">
        <f t="shared" ref="N20" si="13">AVERAGE(K20:K22)</f>
        <v>1.740000000000002</v>
      </c>
      <c r="O20" s="1">
        <f>L20-L2</f>
        <v>-118.14339447489337</v>
      </c>
      <c r="P20" s="1">
        <f>M20-M2</f>
        <v>-1941.8276966586664</v>
      </c>
      <c r="Q20" t="s">
        <v>102</v>
      </c>
      <c r="R20">
        <v>2.1820743053599996</v>
      </c>
      <c r="S20">
        <v>1227.0131609881998</v>
      </c>
    </row>
    <row r="21" spans="1:21" x14ac:dyDescent="0.3">
      <c r="A21" t="s">
        <v>11</v>
      </c>
      <c r="B21" t="s">
        <v>4</v>
      </c>
      <c r="C21" t="s">
        <v>59</v>
      </c>
      <c r="D21">
        <v>3</v>
      </c>
      <c r="E21" t="s">
        <v>6</v>
      </c>
      <c r="F21" t="s">
        <v>81</v>
      </c>
      <c r="G21" s="1">
        <v>8325.5696810000009</v>
      </c>
      <c r="H21" s="1">
        <v>69.274377819999998</v>
      </c>
      <c r="I21" s="1">
        <f>H21-$T$12</f>
        <v>67.111326022059998</v>
      </c>
      <c r="J21" s="1">
        <f>G21-$U$12</f>
        <v>7570.4139712326014</v>
      </c>
      <c r="K21" s="1">
        <v>1.75</v>
      </c>
      <c r="L21" s="1"/>
      <c r="M21" s="1"/>
      <c r="Q21" t="s">
        <v>103</v>
      </c>
      <c r="R21">
        <v>-0.30137628855999976</v>
      </c>
      <c r="S21">
        <v>1243.5612996199998</v>
      </c>
      <c r="T21">
        <f>AVERAGE(R21:R23)</f>
        <v>-6.7898783400000733E-3</v>
      </c>
      <c r="U21">
        <f>AVERAGE(S21:S23)</f>
        <v>1244.7870542983999</v>
      </c>
    </row>
    <row r="22" spans="1:21" x14ac:dyDescent="0.3">
      <c r="A22" t="s">
        <v>11</v>
      </c>
      <c r="B22" t="s">
        <v>4</v>
      </c>
      <c r="C22" t="s">
        <v>59</v>
      </c>
      <c r="D22">
        <v>3</v>
      </c>
      <c r="E22" t="s">
        <v>7</v>
      </c>
      <c r="F22" t="s">
        <v>82</v>
      </c>
      <c r="G22" s="1">
        <v>7578.5496709999998</v>
      </c>
      <c r="H22" s="1">
        <v>123.90285160000001</v>
      </c>
      <c r="I22" s="1">
        <f>H22-$T$12</f>
        <v>121.73979980206001</v>
      </c>
      <c r="J22" s="1">
        <f>G22-$U$12</f>
        <v>6823.3939612325994</v>
      </c>
      <c r="K22" s="1">
        <v>1.75</v>
      </c>
      <c r="L22" s="1"/>
      <c r="M22" s="1"/>
      <c r="O22" s="1"/>
      <c r="P22" s="1"/>
      <c r="Q22" t="s">
        <v>103</v>
      </c>
      <c r="R22">
        <v>-2.9173486000000359E-2</v>
      </c>
      <c r="S22">
        <v>1246.0128089768</v>
      </c>
    </row>
    <row r="23" spans="1:21" x14ac:dyDescent="0.3">
      <c r="A23" t="s">
        <v>11</v>
      </c>
      <c r="B23" t="s">
        <v>9</v>
      </c>
      <c r="C23" t="s">
        <v>63</v>
      </c>
      <c r="D23">
        <v>3</v>
      </c>
      <c r="E23" t="s">
        <v>5</v>
      </c>
      <c r="F23" t="s">
        <v>83</v>
      </c>
      <c r="G23" s="1">
        <v>7886.6540009999999</v>
      </c>
      <c r="H23" s="1">
        <v>120.43143670000001</v>
      </c>
      <c r="I23" s="1">
        <f>H23-$T$12</f>
        <v>118.26838490206001</v>
      </c>
      <c r="J23" s="1">
        <f>G23-$U$12</f>
        <v>7131.4982912325995</v>
      </c>
      <c r="K23" s="1">
        <v>1.8100000000000023</v>
      </c>
      <c r="L23" s="1">
        <f>AVERAGE(I23:I25)</f>
        <v>80.905778398726667</v>
      </c>
      <c r="M23" s="1">
        <f t="shared" ref="M23" si="14">AVERAGE(J23:J25)</f>
        <v>6777.5565725659326</v>
      </c>
      <c r="N23" s="1">
        <f t="shared" ref="N23" si="15">AVERAGE(K23:K25)</f>
        <v>1.7799999999999987</v>
      </c>
      <c r="O23" s="1">
        <f>L23-L2</f>
        <v>-105.6286175482267</v>
      </c>
      <c r="P23" s="1">
        <f>M23-M2</f>
        <v>-475.99825399200108</v>
      </c>
      <c r="Q23" t="s">
        <v>103</v>
      </c>
      <c r="R23">
        <v>0.3101801395399999</v>
      </c>
    </row>
    <row r="24" spans="1:21" x14ac:dyDescent="0.3">
      <c r="A24" t="s">
        <v>11</v>
      </c>
      <c r="B24" t="s">
        <v>9</v>
      </c>
      <c r="C24" t="s">
        <v>63</v>
      </c>
      <c r="D24">
        <v>3</v>
      </c>
      <c r="E24" t="s">
        <v>6</v>
      </c>
      <c r="F24" t="s">
        <v>84</v>
      </c>
      <c r="G24" s="1">
        <v>7481.6699920000001</v>
      </c>
      <c r="H24" s="1">
        <v>70.877959059999995</v>
      </c>
      <c r="I24" s="1">
        <f>H24-$T$12</f>
        <v>68.714907262059995</v>
      </c>
      <c r="J24" s="1">
        <f>G24-$U$12</f>
        <v>6726.5142822325997</v>
      </c>
      <c r="K24" s="1">
        <v>1.779999999999994</v>
      </c>
      <c r="L24" s="1"/>
      <c r="M24" s="1"/>
    </row>
    <row r="25" spans="1:21" x14ac:dyDescent="0.3">
      <c r="A25" t="s">
        <v>11</v>
      </c>
      <c r="B25" t="s">
        <v>9</v>
      </c>
      <c r="C25" t="s">
        <v>63</v>
      </c>
      <c r="D25">
        <v>3</v>
      </c>
      <c r="E25" t="s">
        <v>7</v>
      </c>
      <c r="F25" t="s">
        <v>85</v>
      </c>
      <c r="G25" s="1">
        <v>7229.8128539999998</v>
      </c>
      <c r="H25" s="1">
        <v>57.89709483</v>
      </c>
      <c r="I25" s="1">
        <f>H25-$T$12</f>
        <v>55.734043032060001</v>
      </c>
      <c r="J25" s="1">
        <f>G25-$U$12</f>
        <v>6474.6571442326003</v>
      </c>
      <c r="K25" s="1">
        <v>1.75</v>
      </c>
      <c r="L25" s="1"/>
      <c r="M25" s="1"/>
    </row>
    <row r="26" spans="1:21" x14ac:dyDescent="0.3">
      <c r="A26" t="s">
        <v>11</v>
      </c>
      <c r="B26" t="s">
        <v>10</v>
      </c>
      <c r="C26" t="s">
        <v>67</v>
      </c>
      <c r="D26">
        <v>3</v>
      </c>
      <c r="E26" t="s">
        <v>5</v>
      </c>
      <c r="F26" t="s">
        <v>86</v>
      </c>
      <c r="G26" s="1">
        <v>7659.3616750000001</v>
      </c>
      <c r="H26" s="1">
        <v>86.189502930000003</v>
      </c>
      <c r="I26" s="1">
        <f>H26-$T$12</f>
        <v>84.026451132060004</v>
      </c>
      <c r="J26" s="1">
        <f>G26-$U$12</f>
        <v>6904.2059652326006</v>
      </c>
      <c r="K26" s="1">
        <v>1.7600000000000051</v>
      </c>
      <c r="L26" s="1">
        <f>AVERAGE(I26:I28)</f>
        <v>56.627393635393332</v>
      </c>
      <c r="M26" s="1">
        <f t="shared" ref="M26" si="16">AVERAGE(J26:J28)</f>
        <v>6731.3521608992669</v>
      </c>
      <c r="N26" s="1">
        <f t="shared" ref="N26" si="17">AVERAGE(K26:K28)</f>
        <v>1.8433333333333337</v>
      </c>
      <c r="O26" s="1">
        <f>L26-L2</f>
        <v>-129.90700231156003</v>
      </c>
      <c r="P26" s="1">
        <f>M26-M2</f>
        <v>-522.20266565866677</v>
      </c>
    </row>
    <row r="27" spans="1:21" x14ac:dyDescent="0.3">
      <c r="A27" t="s">
        <v>11</v>
      </c>
      <c r="B27" t="s">
        <v>10</v>
      </c>
      <c r="C27" t="s">
        <v>67</v>
      </c>
      <c r="D27">
        <v>3</v>
      </c>
      <c r="E27" t="s">
        <v>6</v>
      </c>
      <c r="F27" t="s">
        <v>87</v>
      </c>
      <c r="G27" s="1">
        <v>8450.0113419999998</v>
      </c>
      <c r="H27" s="1">
        <v>26.835910640000002</v>
      </c>
      <c r="I27" s="1">
        <f>H27-$T$12</f>
        <v>24.672858842060002</v>
      </c>
      <c r="J27" s="1">
        <f>G27-$U$12</f>
        <v>7694.8556322326003</v>
      </c>
      <c r="K27" s="1">
        <v>1.9299999999999997</v>
      </c>
      <c r="L27" s="1"/>
      <c r="M27" s="1"/>
    </row>
    <row r="28" spans="1:21" x14ac:dyDescent="0.3">
      <c r="A28" t="s">
        <v>11</v>
      </c>
      <c r="B28" t="s">
        <v>10</v>
      </c>
      <c r="C28" t="s">
        <v>67</v>
      </c>
      <c r="D28">
        <v>3</v>
      </c>
      <c r="E28" t="s">
        <v>7</v>
      </c>
      <c r="F28" t="s">
        <v>88</v>
      </c>
      <c r="G28" s="1">
        <v>6350.1505950000001</v>
      </c>
      <c r="H28" s="1">
        <v>63.345922729999998</v>
      </c>
      <c r="I28" s="1">
        <f>H28-$T$12</f>
        <v>61.182870932059998</v>
      </c>
      <c r="J28" s="1">
        <f>G28-$U$12</f>
        <v>5594.9948852325997</v>
      </c>
      <c r="K28" s="1">
        <v>1.8399999999999963</v>
      </c>
      <c r="L28" s="1"/>
      <c r="M28" s="1"/>
    </row>
    <row r="29" spans="1:21" x14ac:dyDescent="0.3">
      <c r="A29" t="s">
        <v>11</v>
      </c>
      <c r="B29" t="s">
        <v>4</v>
      </c>
      <c r="C29" t="s">
        <v>59</v>
      </c>
      <c r="D29">
        <v>7</v>
      </c>
      <c r="E29" t="s">
        <v>5</v>
      </c>
      <c r="F29" t="s">
        <v>89</v>
      </c>
      <c r="G29" s="1">
        <v>8380.9939489999997</v>
      </c>
      <c r="H29" s="1">
        <v>168.0207619</v>
      </c>
      <c r="I29" s="1">
        <f>H29-$T$18</f>
        <v>165.78974702724668</v>
      </c>
      <c r="J29" s="1">
        <f>G29-$U$18</f>
        <v>7078.5406399353997</v>
      </c>
      <c r="K29" s="1">
        <v>1.75</v>
      </c>
      <c r="L29" s="1">
        <f>AVERAGE(I29:I31)</f>
        <v>181.43210869391336</v>
      </c>
      <c r="M29" s="1">
        <f t="shared" ref="M29" si="18">AVERAGE(J29:J31)</f>
        <v>6704.805839602067</v>
      </c>
      <c r="N29" s="1">
        <f t="shared" ref="N29" si="19">AVERAGE(K29:K31)</f>
        <v>1.7200000000000013</v>
      </c>
      <c r="O29" s="1"/>
      <c r="P29" s="1"/>
    </row>
    <row r="30" spans="1:21" x14ac:dyDescent="0.3">
      <c r="A30" t="s">
        <v>11</v>
      </c>
      <c r="B30" t="s">
        <v>4</v>
      </c>
      <c r="C30" t="s">
        <v>59</v>
      </c>
      <c r="D30">
        <v>7</v>
      </c>
      <c r="E30" t="s">
        <v>6</v>
      </c>
      <c r="F30" t="s">
        <v>90</v>
      </c>
      <c r="G30" s="1">
        <v>7279.5971669999999</v>
      </c>
      <c r="H30" s="1">
        <v>157.8712333</v>
      </c>
      <c r="I30" s="1">
        <f>H30-$T$18</f>
        <v>155.64021842724668</v>
      </c>
      <c r="J30" s="1">
        <f>G30-$U$18</f>
        <v>5977.1438579353999</v>
      </c>
      <c r="K30" s="1">
        <v>1.7000000000000028</v>
      </c>
      <c r="L30" s="1"/>
      <c r="M30" s="1"/>
    </row>
    <row r="31" spans="1:21" x14ac:dyDescent="0.3">
      <c r="A31" t="s">
        <v>11</v>
      </c>
      <c r="B31" t="s">
        <v>4</v>
      </c>
      <c r="C31" t="s">
        <v>59</v>
      </c>
      <c r="D31">
        <v>7</v>
      </c>
      <c r="E31" t="s">
        <v>7</v>
      </c>
      <c r="F31" t="s">
        <v>91</v>
      </c>
      <c r="G31" s="1">
        <v>8361.1863300000005</v>
      </c>
      <c r="H31" s="1">
        <v>225.0973755</v>
      </c>
      <c r="I31" s="1">
        <f>H31-$T$18</f>
        <v>222.86636062724668</v>
      </c>
      <c r="J31" s="1">
        <f>G31-$U$18</f>
        <v>7058.7330209354004</v>
      </c>
      <c r="K31" s="1">
        <v>1.7100000000000009</v>
      </c>
      <c r="L31" s="1"/>
      <c r="M31" s="1"/>
    </row>
    <row r="32" spans="1:21" x14ac:dyDescent="0.3">
      <c r="A32" t="s">
        <v>11</v>
      </c>
      <c r="B32" t="s">
        <v>9</v>
      </c>
      <c r="C32" t="s">
        <v>63</v>
      </c>
      <c r="D32">
        <v>7</v>
      </c>
      <c r="E32" t="s">
        <v>5</v>
      </c>
      <c r="F32" t="s">
        <v>92</v>
      </c>
      <c r="G32" s="1">
        <v>931.87515210000004</v>
      </c>
      <c r="H32" s="1">
        <v>3.0631629440000001</v>
      </c>
      <c r="I32" s="1">
        <f>H32-$T$18</f>
        <v>0.8321480712466669</v>
      </c>
      <c r="J32" s="1">
        <f>G32-$U$18</f>
        <v>-370.5781569646</v>
      </c>
      <c r="K32" s="1">
        <v>1.6999999999999957</v>
      </c>
      <c r="L32" s="1">
        <f>AVERAGE(I32:I34)</f>
        <v>58.020553968579996</v>
      </c>
      <c r="M32" s="1">
        <f t="shared" ref="M32" si="20">AVERAGE(J32:J34)</f>
        <v>5066.1111419687331</v>
      </c>
      <c r="N32" s="1">
        <f t="shared" ref="N32" si="21">AVERAGE(K32:K34)</f>
        <v>1.7066666666666634</v>
      </c>
      <c r="O32" s="1"/>
      <c r="P32" s="1"/>
    </row>
    <row r="33" spans="1:16" x14ac:dyDescent="0.3">
      <c r="A33" t="s">
        <v>11</v>
      </c>
      <c r="B33" t="s">
        <v>9</v>
      </c>
      <c r="C33" t="s">
        <v>63</v>
      </c>
      <c r="D33">
        <v>7</v>
      </c>
      <c r="E33" t="s">
        <v>6</v>
      </c>
      <c r="F33" t="s">
        <v>93</v>
      </c>
      <c r="G33" s="1">
        <v>9204.5331100000003</v>
      </c>
      <c r="H33" s="1">
        <v>58.826542680000003</v>
      </c>
      <c r="I33" s="1">
        <f>H33-$T$18</f>
        <v>56.595527807246668</v>
      </c>
      <c r="J33" s="1">
        <f>G33-$U$18</f>
        <v>7902.0798009354003</v>
      </c>
      <c r="K33" s="1">
        <v>1.7299999999999969</v>
      </c>
      <c r="L33" s="1"/>
      <c r="M33" s="1"/>
    </row>
    <row r="34" spans="1:16" x14ac:dyDescent="0.3">
      <c r="A34" t="s">
        <v>11</v>
      </c>
      <c r="B34" t="s">
        <v>9</v>
      </c>
      <c r="C34" t="s">
        <v>63</v>
      </c>
      <c r="D34">
        <v>7</v>
      </c>
      <c r="E34" t="s">
        <v>7</v>
      </c>
      <c r="F34" t="s">
        <v>94</v>
      </c>
      <c r="G34" s="1">
        <v>8969.2850909999997</v>
      </c>
      <c r="H34" s="1">
        <v>118.8650009</v>
      </c>
      <c r="I34" s="1">
        <f>H34-$T$18</f>
        <v>116.63398602724666</v>
      </c>
      <c r="J34" s="1">
        <f>G34-$U$18</f>
        <v>7666.8317819353997</v>
      </c>
      <c r="K34" s="1">
        <v>1.6899999999999977</v>
      </c>
      <c r="L34" s="1"/>
      <c r="M34" s="1"/>
    </row>
    <row r="35" spans="1:16" x14ac:dyDescent="0.3">
      <c r="A35" t="s">
        <v>11</v>
      </c>
      <c r="B35" t="s">
        <v>10</v>
      </c>
      <c r="C35" t="s">
        <v>67</v>
      </c>
      <c r="D35">
        <v>7</v>
      </c>
      <c r="E35" t="s">
        <v>5</v>
      </c>
      <c r="F35" t="s">
        <v>95</v>
      </c>
      <c r="G35" s="1">
        <v>7874.832179</v>
      </c>
      <c r="H35" s="1">
        <v>105.18517559999999</v>
      </c>
      <c r="I35" s="1">
        <f>H35-$T$18</f>
        <v>102.95416072724666</v>
      </c>
      <c r="J35" s="1">
        <f>G35-$U$18</f>
        <v>6572.3788699354</v>
      </c>
      <c r="K35" s="1">
        <v>1.75</v>
      </c>
      <c r="L35" s="1">
        <f>AVERAGE(I35:I37)</f>
        <v>69.405607397246669</v>
      </c>
      <c r="M35" s="1">
        <f t="shared" ref="M35" si="22">AVERAGE(J35:J37)</f>
        <v>6398.5181526020669</v>
      </c>
      <c r="N35" s="1">
        <f t="shared" ref="N35" si="23">AVERAGE(K35:K37)</f>
        <v>1.7066666666666681</v>
      </c>
      <c r="O35" s="1"/>
      <c r="P35" s="1"/>
    </row>
    <row r="36" spans="1:16" x14ac:dyDescent="0.3">
      <c r="A36" t="s">
        <v>11</v>
      </c>
      <c r="B36" t="s">
        <v>10</v>
      </c>
      <c r="C36" t="s">
        <v>67</v>
      </c>
      <c r="D36">
        <v>7</v>
      </c>
      <c r="E36" t="s">
        <v>6</v>
      </c>
      <c r="F36" t="s">
        <v>96</v>
      </c>
      <c r="G36" s="1">
        <v>7666.3791700000002</v>
      </c>
      <c r="H36" s="1">
        <v>39.804244789999998</v>
      </c>
      <c r="I36" s="1">
        <f>H36-$T$18</f>
        <v>37.573229917246664</v>
      </c>
      <c r="J36" s="1">
        <f>G36-$U$18</f>
        <v>6363.9258609354001</v>
      </c>
      <c r="K36" s="1">
        <v>1.730000000000004</v>
      </c>
      <c r="L36" s="1"/>
      <c r="M36" s="1"/>
    </row>
    <row r="37" spans="1:16" x14ac:dyDescent="0.3">
      <c r="A37" t="s">
        <v>11</v>
      </c>
      <c r="B37" t="s">
        <v>10</v>
      </c>
      <c r="C37" t="s">
        <v>67</v>
      </c>
      <c r="D37">
        <v>7</v>
      </c>
      <c r="E37" t="s">
        <v>7</v>
      </c>
      <c r="F37" t="s">
        <v>97</v>
      </c>
      <c r="G37" s="1">
        <v>7561.7030359999999</v>
      </c>
      <c r="H37" s="1">
        <v>69.920446420000005</v>
      </c>
      <c r="I37" s="1">
        <f>H37-$T$18</f>
        <v>67.68943154724667</v>
      </c>
      <c r="J37" s="1">
        <f>G37-$U$18</f>
        <v>6259.2497269353998</v>
      </c>
      <c r="K37" s="1">
        <v>1.6400000000000006</v>
      </c>
      <c r="L37" s="1"/>
      <c r="M37" s="1"/>
    </row>
    <row r="38" spans="1:16" x14ac:dyDescent="0.3">
      <c r="A38" t="s">
        <v>3</v>
      </c>
      <c r="B38" t="s">
        <v>4</v>
      </c>
      <c r="C38" t="s">
        <v>20</v>
      </c>
      <c r="D38">
        <v>0</v>
      </c>
      <c r="E38" t="s">
        <v>5</v>
      </c>
      <c r="F38" t="s">
        <v>21</v>
      </c>
      <c r="G38" s="1">
        <v>5184.9482710000002</v>
      </c>
      <c r="H38" s="1">
        <v>25.676830129999999</v>
      </c>
      <c r="I38" s="1">
        <f>H38-$T$2</f>
        <v>24.328825610286664</v>
      </c>
      <c r="J38" s="1">
        <f>G38-$U$2</f>
        <v>4578.6170495579336</v>
      </c>
      <c r="K38" s="1">
        <v>1.0300000000000011</v>
      </c>
      <c r="L38" s="1"/>
      <c r="M38" s="1"/>
    </row>
    <row r="39" spans="1:16" x14ac:dyDescent="0.3">
      <c r="A39" t="s">
        <v>3</v>
      </c>
      <c r="B39" t="s">
        <v>4</v>
      </c>
      <c r="C39" t="s">
        <v>20</v>
      </c>
      <c r="D39">
        <v>0</v>
      </c>
      <c r="E39" t="s">
        <v>6</v>
      </c>
      <c r="F39" t="s">
        <v>22</v>
      </c>
      <c r="G39" s="1">
        <v>5521.8739059999998</v>
      </c>
      <c r="H39" s="1">
        <v>16.179379820000001</v>
      </c>
      <c r="I39" s="1">
        <f>H39-$T$2</f>
        <v>14.831375300286668</v>
      </c>
      <c r="J39" s="1">
        <f t="shared" ref="J39:J46" si="24">G39-$U$2</f>
        <v>4915.5426845579332</v>
      </c>
      <c r="K39" s="1">
        <v>1.0300000000000011</v>
      </c>
      <c r="L39" s="1"/>
      <c r="M39" s="1"/>
    </row>
    <row r="40" spans="1:16" x14ac:dyDescent="0.3">
      <c r="A40" t="s">
        <v>3</v>
      </c>
      <c r="B40" t="s">
        <v>4</v>
      </c>
      <c r="C40" t="s">
        <v>20</v>
      </c>
      <c r="D40">
        <v>0</v>
      </c>
      <c r="E40" t="s">
        <v>7</v>
      </c>
      <c r="F40" t="s">
        <v>23</v>
      </c>
      <c r="G40" s="1">
        <v>3482.94137</v>
      </c>
      <c r="H40" s="1">
        <v>26.051944540000001</v>
      </c>
      <c r="I40" s="1">
        <f>H40-$T$2</f>
        <v>24.703940020286666</v>
      </c>
      <c r="J40" s="1">
        <f t="shared" si="24"/>
        <v>2876.6101485579334</v>
      </c>
      <c r="K40" s="1">
        <v>0.99000000000000199</v>
      </c>
      <c r="L40" s="1"/>
      <c r="M40" s="1"/>
    </row>
    <row r="41" spans="1:16" x14ac:dyDescent="0.3">
      <c r="A41" t="s">
        <v>3</v>
      </c>
      <c r="B41" t="s">
        <v>9</v>
      </c>
      <c r="C41" t="s">
        <v>24</v>
      </c>
      <c r="D41">
        <v>0</v>
      </c>
      <c r="E41" t="s">
        <v>5</v>
      </c>
      <c r="F41" t="s">
        <v>25</v>
      </c>
      <c r="G41" s="1">
        <v>5514.4082250000001</v>
      </c>
      <c r="H41" s="1">
        <v>438.3974278</v>
      </c>
      <c r="I41" s="1">
        <f>H41-$T$2</f>
        <v>437.04942328028665</v>
      </c>
      <c r="J41" s="1">
        <f t="shared" si="24"/>
        <v>4908.0770035579335</v>
      </c>
      <c r="K41" s="1">
        <v>1</v>
      </c>
      <c r="L41" s="1"/>
      <c r="M41" s="1"/>
    </row>
    <row r="42" spans="1:16" x14ac:dyDescent="0.3">
      <c r="A42" t="s">
        <v>3</v>
      </c>
      <c r="B42" t="s">
        <v>9</v>
      </c>
      <c r="C42" t="s">
        <v>24</v>
      </c>
      <c r="D42">
        <v>0</v>
      </c>
      <c r="E42" t="s">
        <v>6</v>
      </c>
      <c r="F42" t="s">
        <v>26</v>
      </c>
      <c r="G42" s="1">
        <v>5850.6049370000001</v>
      </c>
      <c r="H42" s="1">
        <v>648.55828919999999</v>
      </c>
      <c r="I42" s="1">
        <f>H42-$T$2</f>
        <v>647.21028468028669</v>
      </c>
      <c r="J42" s="1">
        <f t="shared" si="24"/>
        <v>5244.2737155579334</v>
      </c>
      <c r="K42" s="1">
        <v>0.94000000000000483</v>
      </c>
      <c r="L42" s="1"/>
      <c r="M42" s="1"/>
    </row>
    <row r="43" spans="1:16" x14ac:dyDescent="0.3">
      <c r="A43" t="s">
        <v>3</v>
      </c>
      <c r="B43" t="s">
        <v>9</v>
      </c>
      <c r="C43" t="s">
        <v>24</v>
      </c>
      <c r="D43">
        <v>0</v>
      </c>
      <c r="E43" t="s">
        <v>7</v>
      </c>
      <c r="F43" t="s">
        <v>27</v>
      </c>
      <c r="G43" s="1">
        <v>6484.9822860000004</v>
      </c>
      <c r="H43" s="1">
        <v>756.04043290000004</v>
      </c>
      <c r="I43" s="1">
        <f>H43-$T$2</f>
        <v>754.69242838028674</v>
      </c>
      <c r="J43" s="1">
        <f t="shared" si="24"/>
        <v>5878.6510645579338</v>
      </c>
      <c r="K43" s="1">
        <v>0.95000000000000284</v>
      </c>
      <c r="L43" s="1"/>
      <c r="M43" s="1"/>
    </row>
    <row r="44" spans="1:16" x14ac:dyDescent="0.3">
      <c r="A44" t="s">
        <v>3</v>
      </c>
      <c r="B44" t="s">
        <v>10</v>
      </c>
      <c r="C44" t="s">
        <v>28</v>
      </c>
      <c r="D44">
        <v>0</v>
      </c>
      <c r="E44" t="s">
        <v>5</v>
      </c>
      <c r="F44" t="s">
        <v>29</v>
      </c>
      <c r="G44" s="1">
        <v>3868.7890470000002</v>
      </c>
      <c r="H44" s="1">
        <v>31.67473262</v>
      </c>
      <c r="I44" s="1">
        <f>H44-$T$2</f>
        <v>30.326728100286665</v>
      </c>
      <c r="J44" s="1">
        <f t="shared" si="24"/>
        <v>3262.4578255579336</v>
      </c>
      <c r="K44" s="1">
        <v>1.0499999999999972</v>
      </c>
      <c r="L44" s="1"/>
      <c r="M44" s="1"/>
    </row>
    <row r="45" spans="1:16" x14ac:dyDescent="0.3">
      <c r="A45" t="s">
        <v>3</v>
      </c>
      <c r="B45" t="s">
        <v>10</v>
      </c>
      <c r="C45" t="s">
        <v>28</v>
      </c>
      <c r="D45">
        <v>0</v>
      </c>
      <c r="E45" t="s">
        <v>6</v>
      </c>
      <c r="F45" t="s">
        <v>30</v>
      </c>
      <c r="G45" s="1">
        <v>4057.7005170000002</v>
      </c>
      <c r="H45" s="1">
        <v>16.917622219999998</v>
      </c>
      <c r="I45" s="1">
        <f>H45-$T$2</f>
        <v>15.569617700286665</v>
      </c>
      <c r="J45" s="1">
        <f t="shared" si="24"/>
        <v>3451.3692955579336</v>
      </c>
      <c r="K45" s="1">
        <v>1.0300000000000011</v>
      </c>
      <c r="L45" s="1"/>
      <c r="M45" s="1"/>
    </row>
    <row r="46" spans="1:16" x14ac:dyDescent="0.3">
      <c r="A46" t="s">
        <v>3</v>
      </c>
      <c r="B46" t="s">
        <v>10</v>
      </c>
      <c r="C46" t="s">
        <v>28</v>
      </c>
      <c r="D46">
        <v>0</v>
      </c>
      <c r="E46" t="s">
        <v>7</v>
      </c>
      <c r="F46" t="s">
        <v>31</v>
      </c>
      <c r="G46" s="1">
        <v>4055.0662000000002</v>
      </c>
      <c r="H46" s="1">
        <v>25.617996720000001</v>
      </c>
      <c r="I46" s="1">
        <f>H46-$T$2</f>
        <v>24.269992200286666</v>
      </c>
      <c r="J46" s="1">
        <f t="shared" si="24"/>
        <v>3448.7349785579336</v>
      </c>
      <c r="K46" s="1">
        <v>1.0600000000000023</v>
      </c>
      <c r="L46" s="1"/>
      <c r="M46" s="1"/>
    </row>
    <row r="47" spans="1:16" x14ac:dyDescent="0.3">
      <c r="A47" t="s">
        <v>3</v>
      </c>
      <c r="B47" t="s">
        <v>4</v>
      </c>
      <c r="C47" t="s">
        <v>20</v>
      </c>
      <c r="D47">
        <v>1</v>
      </c>
      <c r="E47" t="s">
        <v>5</v>
      </c>
      <c r="F47" t="s">
        <v>32</v>
      </c>
      <c r="G47" s="1">
        <v>6656.9656519999999</v>
      </c>
      <c r="H47" s="1">
        <v>485.67075190000003</v>
      </c>
      <c r="I47" s="1">
        <f>H47-$T$8</f>
        <v>484.15737939006669</v>
      </c>
      <c r="J47" s="1">
        <f>G47-$U$8</f>
        <v>5682.0252793339332</v>
      </c>
      <c r="K47" s="1">
        <v>1.1100000000000065</v>
      </c>
      <c r="L47" s="1"/>
      <c r="M47" s="1"/>
    </row>
    <row r="48" spans="1:16" x14ac:dyDescent="0.3">
      <c r="A48" t="s">
        <v>3</v>
      </c>
      <c r="B48" t="s">
        <v>4</v>
      </c>
      <c r="C48" t="s">
        <v>20</v>
      </c>
      <c r="D48">
        <v>1</v>
      </c>
      <c r="E48" t="s">
        <v>6</v>
      </c>
      <c r="F48" t="s">
        <v>33</v>
      </c>
      <c r="G48" s="1">
        <v>6664.8084230000004</v>
      </c>
      <c r="H48" s="1">
        <v>282.10000960000002</v>
      </c>
      <c r="I48" s="1">
        <f>H48-$T$8</f>
        <v>280.58663709006669</v>
      </c>
      <c r="J48" s="1">
        <f>G48-$U$8</f>
        <v>5689.8680503339338</v>
      </c>
      <c r="K48" s="1">
        <v>1.0200000000000031</v>
      </c>
      <c r="L48" s="1"/>
      <c r="M48" s="1"/>
    </row>
    <row r="49" spans="1:13" x14ac:dyDescent="0.3">
      <c r="A49" t="s">
        <v>3</v>
      </c>
      <c r="B49" t="s">
        <v>4</v>
      </c>
      <c r="C49" t="s">
        <v>20</v>
      </c>
      <c r="D49">
        <v>1</v>
      </c>
      <c r="E49" t="s">
        <v>7</v>
      </c>
      <c r="F49" t="s">
        <v>34</v>
      </c>
      <c r="G49" s="1">
        <v>5360.8210090000002</v>
      </c>
      <c r="H49" s="1">
        <v>410.16186119999998</v>
      </c>
      <c r="I49" s="1">
        <f>H49-$T$8</f>
        <v>408.64848869006664</v>
      </c>
      <c r="J49" s="1">
        <f>G49-$U$8</f>
        <v>4385.8806363339336</v>
      </c>
      <c r="K49" s="1">
        <v>1.009999999999998</v>
      </c>
      <c r="L49" s="1"/>
      <c r="M49" s="1"/>
    </row>
    <row r="50" spans="1:13" x14ac:dyDescent="0.3">
      <c r="A50" t="s">
        <v>3</v>
      </c>
      <c r="B50" t="s">
        <v>9</v>
      </c>
      <c r="C50" t="s">
        <v>24</v>
      </c>
      <c r="D50">
        <v>1</v>
      </c>
      <c r="E50" t="s">
        <v>5</v>
      </c>
      <c r="F50" t="s">
        <v>35</v>
      </c>
      <c r="G50" s="1">
        <v>4345.1248130000004</v>
      </c>
      <c r="H50" s="1">
        <v>25.131959729999998</v>
      </c>
      <c r="I50" s="1">
        <f>H50-$T$8</f>
        <v>23.618587220066665</v>
      </c>
      <c r="J50" s="1">
        <f>G50-$U$8</f>
        <v>3370.1844403339337</v>
      </c>
      <c r="K50" s="1">
        <v>1</v>
      </c>
      <c r="L50" s="1"/>
      <c r="M50" s="1"/>
    </row>
    <row r="51" spans="1:13" x14ac:dyDescent="0.3">
      <c r="A51" t="s">
        <v>3</v>
      </c>
      <c r="B51" t="s">
        <v>9</v>
      </c>
      <c r="C51" t="s">
        <v>24</v>
      </c>
      <c r="D51">
        <v>1</v>
      </c>
      <c r="E51" t="s">
        <v>6</v>
      </c>
      <c r="F51" t="s">
        <v>36</v>
      </c>
      <c r="G51" s="1">
        <v>4176.0212840000004</v>
      </c>
      <c r="H51" s="1">
        <v>74.338317219999993</v>
      </c>
      <c r="I51" s="1">
        <f>H51-$T$8</f>
        <v>72.82494471006666</v>
      </c>
      <c r="J51" s="1">
        <f>G51-$U$8</f>
        <v>3201.0809113339337</v>
      </c>
      <c r="K51" s="1">
        <v>0.97999999999999687</v>
      </c>
      <c r="L51" s="1"/>
      <c r="M51" s="1"/>
    </row>
    <row r="52" spans="1:13" x14ac:dyDescent="0.3">
      <c r="A52" t="s">
        <v>3</v>
      </c>
      <c r="B52" t="s">
        <v>9</v>
      </c>
      <c r="C52" t="s">
        <v>24</v>
      </c>
      <c r="D52">
        <v>1</v>
      </c>
      <c r="E52" t="s">
        <v>7</v>
      </c>
      <c r="F52" t="s">
        <v>37</v>
      </c>
      <c r="G52" s="1">
        <v>3604.50369</v>
      </c>
      <c r="H52" s="1">
        <v>18.52827739</v>
      </c>
      <c r="I52" s="1">
        <f>H52-$T$8</f>
        <v>17.014904880066666</v>
      </c>
      <c r="J52" s="1">
        <f>G52-$U$8</f>
        <v>2629.5633173339334</v>
      </c>
      <c r="K52" s="1">
        <v>1.0200000000000031</v>
      </c>
      <c r="L52" s="1"/>
      <c r="M52" s="1"/>
    </row>
    <row r="53" spans="1:13" x14ac:dyDescent="0.3">
      <c r="A53" t="s">
        <v>3</v>
      </c>
      <c r="B53" t="s">
        <v>10</v>
      </c>
      <c r="C53" t="s">
        <v>28</v>
      </c>
      <c r="D53">
        <v>1</v>
      </c>
      <c r="E53" t="s">
        <v>5</v>
      </c>
      <c r="F53" t="s">
        <v>38</v>
      </c>
      <c r="G53" s="1">
        <v>4681.4635479999997</v>
      </c>
      <c r="H53" s="1">
        <v>250.98381269999999</v>
      </c>
      <c r="I53" s="1">
        <f>H53-$T$8</f>
        <v>249.47044019006665</v>
      </c>
      <c r="J53" s="1">
        <f>G53-$U$8</f>
        <v>3706.5231753339331</v>
      </c>
      <c r="K53" s="1">
        <v>1.009999999999998</v>
      </c>
      <c r="L53" s="1"/>
      <c r="M53" s="1"/>
    </row>
    <row r="54" spans="1:13" x14ac:dyDescent="0.3">
      <c r="A54" t="s">
        <v>3</v>
      </c>
      <c r="B54" t="s">
        <v>10</v>
      </c>
      <c r="C54" t="s">
        <v>28</v>
      </c>
      <c r="D54">
        <v>1</v>
      </c>
      <c r="E54" t="s">
        <v>6</v>
      </c>
      <c r="F54" t="s">
        <v>39</v>
      </c>
      <c r="G54" s="1">
        <v>7593.9916789999997</v>
      </c>
      <c r="H54" s="1">
        <v>263.00725390000002</v>
      </c>
      <c r="I54" s="1">
        <f>H54-$T$8</f>
        <v>261.49388139006669</v>
      </c>
      <c r="J54" s="1">
        <f>G54-$U$8</f>
        <v>6619.0513063339331</v>
      </c>
      <c r="K54" s="1">
        <v>1</v>
      </c>
      <c r="L54" s="1"/>
      <c r="M54" s="1"/>
    </row>
    <row r="55" spans="1:13" x14ac:dyDescent="0.3">
      <c r="A55" t="s">
        <v>3</v>
      </c>
      <c r="B55" t="s">
        <v>10</v>
      </c>
      <c r="C55" t="s">
        <v>28</v>
      </c>
      <c r="D55">
        <v>1</v>
      </c>
      <c r="E55" t="s">
        <v>7</v>
      </c>
      <c r="F55" t="s">
        <v>40</v>
      </c>
      <c r="G55" s="1">
        <v>6684.5150940000003</v>
      </c>
      <c r="H55" s="1">
        <v>303.87341509999999</v>
      </c>
      <c r="I55" s="1">
        <f>H55-$T$8</f>
        <v>302.36004259006666</v>
      </c>
      <c r="J55" s="1">
        <f>G55-$U$8</f>
        <v>5709.5747213339337</v>
      </c>
      <c r="K55" s="1">
        <v>1</v>
      </c>
      <c r="L55" s="1"/>
      <c r="M55" s="1"/>
    </row>
    <row r="56" spans="1:13" x14ac:dyDescent="0.3">
      <c r="A56" t="s">
        <v>3</v>
      </c>
      <c r="B56" t="s">
        <v>4</v>
      </c>
      <c r="C56" t="s">
        <v>20</v>
      </c>
      <c r="D56">
        <v>3</v>
      </c>
      <c r="E56" t="s">
        <v>5</v>
      </c>
      <c r="F56" t="s">
        <v>41</v>
      </c>
      <c r="G56" s="1">
        <v>9004.9837029999999</v>
      </c>
      <c r="H56" s="1">
        <v>2485.5080389999998</v>
      </c>
      <c r="I56" s="1">
        <f>H56-$T$12</f>
        <v>2483.3449872020597</v>
      </c>
      <c r="J56" s="1">
        <f>G56-$U$12</f>
        <v>8249.8279932326004</v>
      </c>
      <c r="K56" s="1">
        <v>0.98999999999999488</v>
      </c>
      <c r="L56" s="1"/>
      <c r="M56" s="1"/>
    </row>
    <row r="57" spans="1:13" x14ac:dyDescent="0.3">
      <c r="A57" t="s">
        <v>3</v>
      </c>
      <c r="B57" t="s">
        <v>4</v>
      </c>
      <c r="C57" t="s">
        <v>20</v>
      </c>
      <c r="D57">
        <v>3</v>
      </c>
      <c r="E57" t="s">
        <v>6</v>
      </c>
      <c r="F57" t="s">
        <v>42</v>
      </c>
      <c r="G57" s="1">
        <v>6694.3679990000001</v>
      </c>
      <c r="H57" s="1">
        <v>1880.554474</v>
      </c>
      <c r="I57" s="1">
        <f>H57-$T$12</f>
        <v>1878.3914222020601</v>
      </c>
      <c r="J57" s="1">
        <f>G57-$U$12</f>
        <v>5939.2122892326006</v>
      </c>
      <c r="K57" s="1">
        <v>1.0400000000000063</v>
      </c>
      <c r="L57" s="1"/>
      <c r="M57" s="1"/>
    </row>
    <row r="58" spans="1:13" x14ac:dyDescent="0.3">
      <c r="A58" t="s">
        <v>3</v>
      </c>
      <c r="B58" t="s">
        <v>4</v>
      </c>
      <c r="C58" t="s">
        <v>20</v>
      </c>
      <c r="D58">
        <v>3</v>
      </c>
      <c r="E58" t="s">
        <v>7</v>
      </c>
      <c r="F58" t="s">
        <v>43</v>
      </c>
      <c r="G58" s="1">
        <v>8684.3641069999994</v>
      </c>
      <c r="H58" s="1">
        <v>2374.3384719999999</v>
      </c>
      <c r="I58" s="1">
        <f>H58-$T$12</f>
        <v>2372.1754202020597</v>
      </c>
      <c r="J58" s="1">
        <f>G58-$U$12</f>
        <v>7929.2083972326</v>
      </c>
      <c r="K58" s="1">
        <v>1.0600000000000023</v>
      </c>
      <c r="L58" s="1"/>
      <c r="M58" s="1"/>
    </row>
    <row r="59" spans="1:13" x14ac:dyDescent="0.3">
      <c r="A59" t="s">
        <v>3</v>
      </c>
      <c r="B59" t="s">
        <v>9</v>
      </c>
      <c r="C59" t="s">
        <v>24</v>
      </c>
      <c r="D59">
        <v>3</v>
      </c>
      <c r="E59" t="s">
        <v>5</v>
      </c>
      <c r="F59" t="s">
        <v>44</v>
      </c>
      <c r="G59" s="1">
        <v>8822.2594680000002</v>
      </c>
      <c r="H59" s="1">
        <v>1997.025713</v>
      </c>
      <c r="I59" s="1">
        <f>H59-$T$12</f>
        <v>1994.8626612020601</v>
      </c>
      <c r="J59" s="1">
        <f>G59-$U$12</f>
        <v>8067.1037582326007</v>
      </c>
      <c r="K59" s="1">
        <v>0.94999999999999574</v>
      </c>
      <c r="L59" s="1"/>
      <c r="M59" s="1"/>
    </row>
    <row r="60" spans="1:13" x14ac:dyDescent="0.3">
      <c r="A60" t="s">
        <v>3</v>
      </c>
      <c r="B60" t="s">
        <v>9</v>
      </c>
      <c r="C60" t="s">
        <v>24</v>
      </c>
      <c r="D60">
        <v>3</v>
      </c>
      <c r="E60" t="s">
        <v>6</v>
      </c>
      <c r="F60" t="s">
        <v>45</v>
      </c>
      <c r="G60" s="1">
        <v>8428.2073849999997</v>
      </c>
      <c r="H60" s="1">
        <v>1925.1038169999999</v>
      </c>
      <c r="I60" s="1">
        <f>H60-$T$12</f>
        <v>1922.94076520206</v>
      </c>
      <c r="J60" s="1">
        <f>G60-$U$12</f>
        <v>7673.0516752326002</v>
      </c>
      <c r="K60" s="1">
        <v>1.0200000000000031</v>
      </c>
      <c r="L60" s="1"/>
      <c r="M60" s="1"/>
    </row>
    <row r="61" spans="1:13" x14ac:dyDescent="0.3">
      <c r="A61" t="s">
        <v>3</v>
      </c>
      <c r="B61" t="s">
        <v>9</v>
      </c>
      <c r="C61" t="s">
        <v>24</v>
      </c>
      <c r="D61">
        <v>3</v>
      </c>
      <c r="E61" t="s">
        <v>7</v>
      </c>
      <c r="F61" t="s">
        <v>46</v>
      </c>
      <c r="G61" s="1">
        <v>8748.4401149999994</v>
      </c>
      <c r="H61" s="1">
        <v>1773.8866539999999</v>
      </c>
      <c r="I61" s="1">
        <f>H61-$T$12</f>
        <v>1771.72360220206</v>
      </c>
      <c r="J61" s="1">
        <f>G61-$U$12</f>
        <v>7993.2844052326</v>
      </c>
      <c r="K61" s="1">
        <v>1.009999999999998</v>
      </c>
      <c r="L61" s="1"/>
      <c r="M61" s="1"/>
    </row>
    <row r="62" spans="1:13" x14ac:dyDescent="0.3">
      <c r="A62" t="s">
        <v>3</v>
      </c>
      <c r="B62" t="s">
        <v>10</v>
      </c>
      <c r="C62" t="s">
        <v>28</v>
      </c>
      <c r="D62">
        <v>3</v>
      </c>
      <c r="E62" t="s">
        <v>5</v>
      </c>
      <c r="F62" t="s">
        <v>47</v>
      </c>
      <c r="G62" s="1">
        <v>8577.0061409999998</v>
      </c>
      <c r="H62" s="1">
        <v>1450.517439</v>
      </c>
      <c r="I62" s="1">
        <f>H62-$T$12</f>
        <v>1448.35438720206</v>
      </c>
      <c r="J62" s="1">
        <f>G62-$U$12</f>
        <v>7821.8504312326004</v>
      </c>
      <c r="K62" s="1">
        <v>0.97999999999999687</v>
      </c>
      <c r="L62" s="1"/>
      <c r="M62" s="1"/>
    </row>
    <row r="63" spans="1:13" x14ac:dyDescent="0.3">
      <c r="A63" t="s">
        <v>3</v>
      </c>
      <c r="B63" t="s">
        <v>10</v>
      </c>
      <c r="C63" t="s">
        <v>28</v>
      </c>
      <c r="D63">
        <v>3</v>
      </c>
      <c r="E63" t="s">
        <v>6</v>
      </c>
      <c r="F63" t="s">
        <v>48</v>
      </c>
      <c r="G63" s="1">
        <v>8068.9378479999996</v>
      </c>
      <c r="H63" s="1">
        <v>1167.2493790000001</v>
      </c>
      <c r="I63" s="1">
        <f>H63-$T$12</f>
        <v>1165.0863272020601</v>
      </c>
      <c r="J63" s="1">
        <f>G63-$U$12</f>
        <v>7313.7821382326001</v>
      </c>
      <c r="K63" s="1">
        <v>1.019999999999996</v>
      </c>
      <c r="L63" s="1"/>
      <c r="M63" s="1"/>
    </row>
    <row r="64" spans="1:13" x14ac:dyDescent="0.3">
      <c r="A64" t="s">
        <v>3</v>
      </c>
      <c r="B64" t="s">
        <v>10</v>
      </c>
      <c r="C64" t="s">
        <v>28</v>
      </c>
      <c r="D64">
        <v>3</v>
      </c>
      <c r="E64" t="s">
        <v>7</v>
      </c>
      <c r="F64" t="s">
        <v>49</v>
      </c>
      <c r="G64" s="1">
        <v>7879.2403649999997</v>
      </c>
      <c r="H64" s="1">
        <v>1127.746384</v>
      </c>
      <c r="I64" s="1">
        <f>H64-$T$12</f>
        <v>1125.5833322020601</v>
      </c>
      <c r="J64" s="1">
        <f>G64-$U$12</f>
        <v>7124.0846552326002</v>
      </c>
      <c r="K64" s="1">
        <v>1.0300000000000011</v>
      </c>
      <c r="L64" s="1"/>
      <c r="M64" s="1"/>
    </row>
    <row r="65" spans="1:13" x14ac:dyDescent="0.3">
      <c r="A65" t="s">
        <v>3</v>
      </c>
      <c r="B65" t="s">
        <v>4</v>
      </c>
      <c r="C65" t="s">
        <v>20</v>
      </c>
      <c r="D65">
        <v>7</v>
      </c>
      <c r="E65" t="s">
        <v>5</v>
      </c>
      <c r="F65" t="s">
        <v>50</v>
      </c>
      <c r="G65" s="1">
        <v>10025.71081</v>
      </c>
      <c r="H65" s="1">
        <v>7514.77225</v>
      </c>
      <c r="I65" s="1">
        <f>H65-$T$18</f>
        <v>7512.5412351272471</v>
      </c>
      <c r="J65" s="1">
        <f>G65-$U$18</f>
        <v>8723.2575009354005</v>
      </c>
      <c r="K65" s="1">
        <v>1.0200000000000031</v>
      </c>
      <c r="L65" s="1"/>
      <c r="M65" s="1"/>
    </row>
    <row r="66" spans="1:13" x14ac:dyDescent="0.3">
      <c r="A66" t="s">
        <v>3</v>
      </c>
      <c r="B66" t="s">
        <v>4</v>
      </c>
      <c r="C66" t="s">
        <v>20</v>
      </c>
      <c r="D66">
        <v>7</v>
      </c>
      <c r="E66" t="s">
        <v>6</v>
      </c>
      <c r="F66" t="s">
        <v>51</v>
      </c>
      <c r="G66" s="1">
        <v>8701.0824799999991</v>
      </c>
      <c r="H66" s="1">
        <v>6116.0444100000004</v>
      </c>
      <c r="I66" s="1">
        <f>H66-$T$18</f>
        <v>6113.8133951272475</v>
      </c>
      <c r="J66" s="1">
        <f>G66-$U$18</f>
        <v>7398.6291709353991</v>
      </c>
      <c r="K66" s="1">
        <v>1.0700000000000003</v>
      </c>
      <c r="L66" s="1"/>
      <c r="M66" s="1"/>
    </row>
    <row r="67" spans="1:13" x14ac:dyDescent="0.3">
      <c r="A67" t="s">
        <v>3</v>
      </c>
      <c r="B67" t="s">
        <v>4</v>
      </c>
      <c r="C67" t="s">
        <v>20</v>
      </c>
      <c r="D67">
        <v>7</v>
      </c>
      <c r="E67" t="s">
        <v>7</v>
      </c>
      <c r="F67" t="s">
        <v>52</v>
      </c>
      <c r="G67" s="1">
        <v>9301.6386849999999</v>
      </c>
      <c r="H67" s="1">
        <v>7106.2548930000003</v>
      </c>
      <c r="I67" s="1">
        <f>H67-$T$18</f>
        <v>7104.0238781272474</v>
      </c>
      <c r="J67" s="1">
        <f>G67-$U$18</f>
        <v>7999.1853759353999</v>
      </c>
      <c r="K67" s="1">
        <v>0.98999999999999488</v>
      </c>
      <c r="L67" s="1"/>
      <c r="M67" s="1"/>
    </row>
    <row r="68" spans="1:13" x14ac:dyDescent="0.3">
      <c r="A68" t="s">
        <v>3</v>
      </c>
      <c r="B68" t="s">
        <v>9</v>
      </c>
      <c r="C68" t="s">
        <v>24</v>
      </c>
      <c r="D68">
        <v>7</v>
      </c>
      <c r="E68" t="s">
        <v>5</v>
      </c>
      <c r="F68" t="s">
        <v>53</v>
      </c>
      <c r="G68" s="1">
        <v>9050.4882780000007</v>
      </c>
      <c r="H68" s="1">
        <v>4038.2052990000002</v>
      </c>
      <c r="I68" s="1">
        <f>H68-$T$18</f>
        <v>4035.9742841272468</v>
      </c>
      <c r="J68" s="1">
        <f>G68-$U$18</f>
        <v>7748.0349689354007</v>
      </c>
      <c r="K68" s="1">
        <v>1.0200000000000031</v>
      </c>
      <c r="L68" s="1"/>
      <c r="M68" s="1"/>
    </row>
    <row r="69" spans="1:13" x14ac:dyDescent="0.3">
      <c r="A69" t="s">
        <v>3</v>
      </c>
      <c r="B69" t="s">
        <v>9</v>
      </c>
      <c r="C69" t="s">
        <v>24</v>
      </c>
      <c r="D69">
        <v>7</v>
      </c>
      <c r="E69" t="s">
        <v>6</v>
      </c>
      <c r="F69" t="s">
        <v>54</v>
      </c>
      <c r="G69" s="1">
        <v>8507.8149549999998</v>
      </c>
      <c r="H69" s="1">
        <v>3595.7956610000001</v>
      </c>
      <c r="I69" s="1">
        <f>H69-$T$18</f>
        <v>3593.5646461272468</v>
      </c>
      <c r="J69" s="1">
        <f>G69-$U$18</f>
        <v>7205.3616459353998</v>
      </c>
      <c r="K69" s="1">
        <v>0.99000000000000199</v>
      </c>
      <c r="L69" s="1"/>
      <c r="M69" s="1"/>
    </row>
    <row r="70" spans="1:13" x14ac:dyDescent="0.3">
      <c r="A70" t="s">
        <v>3</v>
      </c>
      <c r="B70" t="s">
        <v>9</v>
      </c>
      <c r="C70" t="s">
        <v>24</v>
      </c>
      <c r="D70">
        <v>7</v>
      </c>
      <c r="E70" t="s">
        <v>7</v>
      </c>
      <c r="F70" t="s">
        <v>55</v>
      </c>
      <c r="G70" s="1">
        <v>10134.54448</v>
      </c>
      <c r="H70" s="1">
        <v>4389.6942600000002</v>
      </c>
      <c r="I70" s="1">
        <f>H70-$T$18</f>
        <v>4387.4632451272473</v>
      </c>
      <c r="J70" s="1">
        <f>G70-$U$18</f>
        <v>8832.0911709354004</v>
      </c>
      <c r="K70" s="1">
        <v>0.99000000000000199</v>
      </c>
      <c r="L70" s="1"/>
      <c r="M70" s="1"/>
    </row>
    <row r="71" spans="1:13" x14ac:dyDescent="0.3">
      <c r="A71" t="s">
        <v>3</v>
      </c>
      <c r="B71" t="s">
        <v>10</v>
      </c>
      <c r="C71" t="s">
        <v>28</v>
      </c>
      <c r="D71">
        <v>7</v>
      </c>
      <c r="E71" t="s">
        <v>5</v>
      </c>
      <c r="F71" t="s">
        <v>56</v>
      </c>
      <c r="G71" s="1">
        <v>8746.1947679999994</v>
      </c>
      <c r="H71" s="1">
        <v>2255.679451</v>
      </c>
      <c r="I71" s="1">
        <f>H71-$T$18</f>
        <v>2253.4484361272466</v>
      </c>
      <c r="J71" s="1">
        <f>G71-$U$18</f>
        <v>7443.7414589353994</v>
      </c>
      <c r="K71" s="1">
        <v>1.0300000000000011</v>
      </c>
      <c r="L71" s="1"/>
      <c r="M71" s="1"/>
    </row>
    <row r="72" spans="1:13" x14ac:dyDescent="0.3">
      <c r="A72" t="s">
        <v>3</v>
      </c>
      <c r="B72" t="s">
        <v>10</v>
      </c>
      <c r="C72" t="s">
        <v>28</v>
      </c>
      <c r="D72">
        <v>7</v>
      </c>
      <c r="E72" t="s">
        <v>6</v>
      </c>
      <c r="F72" t="s">
        <v>57</v>
      </c>
      <c r="G72" s="1">
        <v>10664.86147</v>
      </c>
      <c r="H72" s="1">
        <v>2950.253326</v>
      </c>
      <c r="I72" s="1">
        <f>H72-$T$18</f>
        <v>2948.0223111272467</v>
      </c>
      <c r="J72" s="1">
        <f>G72-$U$18</f>
        <v>9362.4081609353998</v>
      </c>
      <c r="K72" s="1">
        <v>0.98000000000000398</v>
      </c>
      <c r="L72" s="1"/>
      <c r="M72" s="1"/>
    </row>
    <row r="73" spans="1:13" x14ac:dyDescent="0.3">
      <c r="A73" t="s">
        <v>3</v>
      </c>
      <c r="B73" t="s">
        <v>10</v>
      </c>
      <c r="C73" t="s">
        <v>28</v>
      </c>
      <c r="D73">
        <v>7</v>
      </c>
      <c r="E73" t="s">
        <v>7</v>
      </c>
      <c r="F73" t="s">
        <v>58</v>
      </c>
      <c r="G73" s="1">
        <v>9178.8268700000008</v>
      </c>
      <c r="H73" s="1">
        <v>1540.4409840000001</v>
      </c>
      <c r="I73" s="1">
        <f>H73-$T$18</f>
        <v>1538.2099691272467</v>
      </c>
      <c r="J73" s="1">
        <f>G73-$U$18</f>
        <v>7876.3735609354007</v>
      </c>
      <c r="K73" s="1">
        <v>1.009999999999998</v>
      </c>
      <c r="L73" s="1"/>
      <c r="M73" s="1"/>
    </row>
  </sheetData>
  <sortState xmlns:xlrd2="http://schemas.microsoft.com/office/spreadsheetml/2017/richdata2" ref="A2:J73">
    <sortCondition ref="A2:A73"/>
    <sortCondition ref="D2:D73"/>
    <sortCondition ref="B2:B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2024-08-13T21:34:56Z</dcterms:created>
  <dcterms:modified xsi:type="dcterms:W3CDTF">2024-12-19T12:45:17Z</dcterms:modified>
</cp:coreProperties>
</file>