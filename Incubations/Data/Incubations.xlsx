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incubations\data\"/>
    </mc:Choice>
  </mc:AlternateContent>
  <xr:revisionPtr revIDLastSave="0" documentId="13_ncr:1_{2107E555-DD46-4D54-A580-A483374F96FE}" xr6:coauthVersionLast="47" xr6:coauthVersionMax="47" xr10:uidLastSave="{00000000-0000-0000-0000-000000000000}"/>
  <bookViews>
    <workbookView xWindow="-108" yWindow="-108" windowWidth="23256" windowHeight="12576" xr2:uid="{BD668895-7881-4941-89F3-E4D28EA2F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M30" i="1"/>
  <c r="N9" i="1"/>
  <c r="N22" i="1"/>
  <c r="N48" i="1"/>
  <c r="N51" i="1"/>
  <c r="M15" i="1"/>
  <c r="N15" i="1" s="1"/>
  <c r="M14" i="1"/>
  <c r="M16" i="1"/>
  <c r="M17" i="1"/>
  <c r="M18" i="1"/>
  <c r="M19" i="1"/>
  <c r="M20" i="1"/>
  <c r="M21" i="1"/>
  <c r="M22" i="1"/>
  <c r="M23" i="1"/>
  <c r="N23" i="1" s="1"/>
  <c r="M24" i="1"/>
  <c r="M25" i="1"/>
  <c r="M26" i="1"/>
  <c r="M27" i="1"/>
  <c r="M28" i="1"/>
  <c r="M29" i="1"/>
  <c r="N30" i="1"/>
  <c r="M31" i="1"/>
  <c r="N31" i="1" s="1"/>
  <c r="M32" i="1"/>
  <c r="M33" i="1"/>
  <c r="M34" i="1"/>
  <c r="M35" i="1"/>
  <c r="M36" i="1"/>
  <c r="M37" i="1"/>
  <c r="M38" i="1"/>
  <c r="M39" i="1"/>
  <c r="N39" i="1" s="1"/>
  <c r="M40" i="1"/>
  <c r="M41" i="1"/>
  <c r="M42" i="1"/>
  <c r="M43" i="1"/>
  <c r="M44" i="1"/>
  <c r="M45" i="1"/>
  <c r="M46" i="1"/>
  <c r="N46" i="1" s="1"/>
  <c r="M47" i="1"/>
  <c r="N47" i="1" s="1"/>
  <c r="M48" i="1"/>
  <c r="M49" i="1"/>
  <c r="M50" i="1"/>
  <c r="M51" i="1"/>
  <c r="M52" i="1"/>
  <c r="M53" i="1"/>
  <c r="M54" i="1"/>
  <c r="M55" i="1"/>
  <c r="N55" i="1" s="1"/>
  <c r="M56" i="1"/>
  <c r="N56" i="1" s="1"/>
  <c r="M57" i="1"/>
  <c r="M58" i="1"/>
  <c r="M59" i="1"/>
  <c r="M60" i="1"/>
  <c r="M61" i="1"/>
  <c r="M62" i="1"/>
  <c r="N62" i="1" s="1"/>
  <c r="M63" i="1"/>
  <c r="N63" i="1" s="1"/>
  <c r="M64" i="1"/>
  <c r="N64" i="1" s="1"/>
  <c r="M65" i="1"/>
  <c r="M66" i="1"/>
  <c r="M67" i="1"/>
  <c r="M68" i="1"/>
  <c r="M69" i="1"/>
  <c r="M70" i="1"/>
  <c r="N70" i="1" s="1"/>
  <c r="M71" i="1"/>
  <c r="N71" i="1" s="1"/>
  <c r="M72" i="1"/>
  <c r="M73" i="1"/>
  <c r="K15" i="1"/>
  <c r="K18" i="1"/>
  <c r="K19" i="1"/>
  <c r="N19" i="1" s="1"/>
  <c r="K21" i="1"/>
  <c r="K22" i="1"/>
  <c r="K23" i="1"/>
  <c r="K26" i="1"/>
  <c r="K27" i="1"/>
  <c r="N27" i="1" s="1"/>
  <c r="K29" i="1"/>
  <c r="K30" i="1"/>
  <c r="K31" i="1"/>
  <c r="K34" i="1"/>
  <c r="K35" i="1"/>
  <c r="K37" i="1"/>
  <c r="K38" i="1"/>
  <c r="N38" i="1" s="1"/>
  <c r="K39" i="1"/>
  <c r="K42" i="1"/>
  <c r="K43" i="1"/>
  <c r="K45" i="1"/>
  <c r="N45" i="1" s="1"/>
  <c r="K46" i="1"/>
  <c r="K48" i="1"/>
  <c r="K58" i="1"/>
  <c r="K3" i="1"/>
  <c r="N3" i="1" s="1"/>
  <c r="K4" i="1"/>
  <c r="N4" i="1" s="1"/>
  <c r="K5" i="1"/>
  <c r="N5" i="1" s="1"/>
  <c r="K6" i="1"/>
  <c r="N6" i="1" s="1"/>
  <c r="K7" i="1"/>
  <c r="N7" i="1" s="1"/>
  <c r="K8" i="1"/>
  <c r="N8" i="1" s="1"/>
  <c r="K9" i="1"/>
  <c r="K10" i="1"/>
  <c r="N10" i="1" s="1"/>
  <c r="K11" i="1"/>
  <c r="N11" i="1" s="1"/>
  <c r="K12" i="1"/>
  <c r="N12" i="1" s="1"/>
  <c r="K13" i="1"/>
  <c r="N13" i="1" s="1"/>
  <c r="F15" i="1"/>
  <c r="F16" i="1"/>
  <c r="K16" i="1" s="1"/>
  <c r="N16" i="1" s="1"/>
  <c r="F17" i="1"/>
  <c r="K17" i="1" s="1"/>
  <c r="F18" i="1"/>
  <c r="F19" i="1"/>
  <c r="F20" i="1"/>
  <c r="K20" i="1" s="1"/>
  <c r="F21" i="1"/>
  <c r="F22" i="1"/>
  <c r="F23" i="1"/>
  <c r="F24" i="1"/>
  <c r="K24" i="1" s="1"/>
  <c r="F25" i="1"/>
  <c r="K25" i="1" s="1"/>
  <c r="F26" i="1"/>
  <c r="F27" i="1"/>
  <c r="F28" i="1"/>
  <c r="K28" i="1" s="1"/>
  <c r="F29" i="1"/>
  <c r="F30" i="1"/>
  <c r="F31" i="1"/>
  <c r="F32" i="1"/>
  <c r="K32" i="1" s="1"/>
  <c r="F33" i="1"/>
  <c r="K33" i="1" s="1"/>
  <c r="N33" i="1" s="1"/>
  <c r="F34" i="1"/>
  <c r="F35" i="1"/>
  <c r="F36" i="1"/>
  <c r="K36" i="1" s="1"/>
  <c r="F37" i="1"/>
  <c r="F38" i="1"/>
  <c r="F39" i="1"/>
  <c r="F40" i="1"/>
  <c r="K40" i="1" s="1"/>
  <c r="F41" i="1"/>
  <c r="K41" i="1" s="1"/>
  <c r="F42" i="1"/>
  <c r="F43" i="1"/>
  <c r="F44" i="1"/>
  <c r="K44" i="1" s="1"/>
  <c r="F45" i="1"/>
  <c r="F46" i="1"/>
  <c r="F47" i="1"/>
  <c r="K47" i="1" s="1"/>
  <c r="F48" i="1"/>
  <c r="F49" i="1"/>
  <c r="K49" i="1" s="1"/>
  <c r="N49" i="1" s="1"/>
  <c r="F50" i="1"/>
  <c r="K50" i="1" s="1"/>
  <c r="F51" i="1"/>
  <c r="K51" i="1" s="1"/>
  <c r="F52" i="1"/>
  <c r="K52" i="1" s="1"/>
  <c r="F53" i="1"/>
  <c r="K53" i="1" s="1"/>
  <c r="F54" i="1"/>
  <c r="K54" i="1" s="1"/>
  <c r="F55" i="1"/>
  <c r="K55" i="1" s="1"/>
  <c r="F56" i="1"/>
  <c r="K56" i="1" s="1"/>
  <c r="F57" i="1"/>
  <c r="K57" i="1" s="1"/>
  <c r="F58" i="1"/>
  <c r="F59" i="1"/>
  <c r="K59" i="1" s="1"/>
  <c r="F60" i="1"/>
  <c r="K60" i="1" s="1"/>
  <c r="F61" i="1"/>
  <c r="K61" i="1" s="1"/>
  <c r="F62" i="1"/>
  <c r="K62" i="1" s="1"/>
  <c r="F63" i="1"/>
  <c r="K63" i="1" s="1"/>
  <c r="F64" i="1"/>
  <c r="K64" i="1" s="1"/>
  <c r="F65" i="1"/>
  <c r="K65" i="1" s="1"/>
  <c r="F66" i="1"/>
  <c r="K66" i="1" s="1"/>
  <c r="N66" i="1" s="1"/>
  <c r="F67" i="1"/>
  <c r="K67" i="1" s="1"/>
  <c r="F68" i="1"/>
  <c r="K68" i="1" s="1"/>
  <c r="F69" i="1"/>
  <c r="K69" i="1" s="1"/>
  <c r="F70" i="1"/>
  <c r="K70" i="1" s="1"/>
  <c r="F71" i="1"/>
  <c r="K71" i="1" s="1"/>
  <c r="F72" i="1"/>
  <c r="K72" i="1" s="1"/>
  <c r="N72" i="1" s="1"/>
  <c r="F73" i="1"/>
  <c r="K73" i="1" s="1"/>
  <c r="N73" i="1" s="1"/>
  <c r="F14" i="1"/>
  <c r="K14" i="1" s="1"/>
  <c r="N14" i="1" s="1"/>
  <c r="K2" i="1"/>
  <c r="N2" i="1" s="1"/>
  <c r="G3" i="1"/>
  <c r="G4" i="1"/>
  <c r="G5" i="1"/>
  <c r="G6" i="1"/>
  <c r="G7" i="1"/>
  <c r="G8" i="1"/>
  <c r="G9" i="1"/>
  <c r="G10" i="1"/>
  <c r="G11" i="1"/>
  <c r="G12" i="1"/>
  <c r="G13" i="1"/>
  <c r="G2" i="1"/>
  <c r="M3" i="1"/>
  <c r="M4" i="1"/>
  <c r="M5" i="1"/>
  <c r="M6" i="1"/>
  <c r="M7" i="1"/>
  <c r="M8" i="1"/>
  <c r="M9" i="1"/>
  <c r="M10" i="1"/>
  <c r="M11" i="1"/>
  <c r="M12" i="1"/>
  <c r="M13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  <c r="N69" i="1" l="1"/>
  <c r="N61" i="1"/>
  <c r="N53" i="1"/>
  <c r="N37" i="1"/>
  <c r="N29" i="1"/>
  <c r="N21" i="1"/>
  <c r="N65" i="1"/>
  <c r="N57" i="1"/>
  <c r="N41" i="1"/>
  <c r="N68" i="1"/>
  <c r="N60" i="1"/>
  <c r="N52" i="1"/>
  <c r="N44" i="1"/>
  <c r="N36" i="1"/>
  <c r="N28" i="1"/>
  <c r="N20" i="1"/>
  <c r="N67" i="1"/>
  <c r="N59" i="1"/>
  <c r="N43" i="1"/>
  <c r="N35" i="1"/>
  <c r="N58" i="1"/>
  <c r="N50" i="1"/>
  <c r="N42" i="1"/>
  <c r="N34" i="1"/>
  <c r="N26" i="1"/>
  <c r="N18" i="1"/>
  <c r="N25" i="1"/>
  <c r="N17" i="1"/>
  <c r="N40" i="1"/>
  <c r="N32" i="1"/>
  <c r="N24" i="1"/>
  <c r="N54" i="1"/>
</calcChain>
</file>

<file path=xl/sharedStrings.xml><?xml version="1.0" encoding="utf-8"?>
<sst xmlns="http://schemas.openxmlformats.org/spreadsheetml/2006/main" count="230" uniqueCount="22">
  <si>
    <t>site</t>
  </si>
  <si>
    <t>timepoint</t>
  </si>
  <si>
    <t>rep</t>
  </si>
  <si>
    <t>TO</t>
  </si>
  <si>
    <t>vial weight (g)</t>
  </si>
  <si>
    <t>T1</t>
  </si>
  <si>
    <t>a</t>
  </si>
  <si>
    <t>b</t>
  </si>
  <si>
    <t>c</t>
  </si>
  <si>
    <t>treatment</t>
  </si>
  <si>
    <t>T2</t>
  </si>
  <si>
    <t>T3</t>
  </si>
  <si>
    <t>PA</t>
  </si>
  <si>
    <t>vial weight w/ cap (g)</t>
  </si>
  <si>
    <t>vial name</t>
  </si>
  <si>
    <t>dry sed weight (g)</t>
  </si>
  <si>
    <t>cap weight (g)</t>
  </si>
  <si>
    <t>sed weight (g)</t>
  </si>
  <si>
    <t>dry sed weight+vial (g)</t>
  </si>
  <si>
    <t>AFDM (g)</t>
  </si>
  <si>
    <t>ashed (g)</t>
  </si>
  <si>
    <t>% 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</si>
</sst>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B0A2-8CEA-4D70-BDE1-A1289872EF21}">
  <dimension ref="A1:N73"/>
  <sheetViews>
    <sheetView tabSelected="1" topLeftCell="E1" workbookViewId="0">
      <selection activeCell="N2" sqref="N2"/>
    </sheetView>
  </sheetViews>
  <sheetFormatPr defaultRowHeight="14.4" x14ac:dyDescent="0.3"/>
  <cols>
    <col min="1" max="1" width="3.88671875" hidden="1" customWidth="1"/>
    <col min="2" max="2" width="8.88671875" hidden="1" customWidth="1"/>
    <col min="3" max="3" width="8.5546875" hidden="1" customWidth="1"/>
    <col min="4" max="4" width="3.6640625" hidden="1" customWidth="1"/>
    <col min="5" max="5" width="8.5546875" bestFit="1" customWidth="1"/>
    <col min="6" max="6" width="11.5546875" bestFit="1" customWidth="1"/>
    <col min="7" max="7" width="17.44140625" bestFit="1" customWidth="1"/>
    <col min="8" max="8" width="11.88671875" bestFit="1" customWidth="1"/>
    <col min="9" max="9" width="15.33203125" customWidth="1"/>
    <col min="10" max="10" width="18.44140625" bestFit="1" customWidth="1"/>
    <col min="11" max="11" width="14.6640625" bestFit="1" customWidth="1"/>
    <col min="12" max="12" width="8.21875" bestFit="1" customWidth="1"/>
  </cols>
  <sheetData>
    <row r="1" spans="1:14" x14ac:dyDescent="0.3">
      <c r="A1" t="s">
        <v>0</v>
      </c>
      <c r="B1" t="s">
        <v>9</v>
      </c>
      <c r="C1" t="s">
        <v>1</v>
      </c>
      <c r="D1" t="s">
        <v>2</v>
      </c>
      <c r="E1" t="s">
        <v>14</v>
      </c>
      <c r="F1" t="s">
        <v>4</v>
      </c>
      <c r="G1" t="s">
        <v>13</v>
      </c>
      <c r="H1" t="s">
        <v>16</v>
      </c>
      <c r="I1" t="s">
        <v>17</v>
      </c>
      <c r="J1" t="s">
        <v>18</v>
      </c>
      <c r="K1" t="s">
        <v>15</v>
      </c>
      <c r="L1" t="s">
        <v>20</v>
      </c>
      <c r="M1" t="s">
        <v>19</v>
      </c>
      <c r="N1" t="s">
        <v>21</v>
      </c>
    </row>
    <row r="2" spans="1:14" x14ac:dyDescent="0.3">
      <c r="A2" t="s">
        <v>3</v>
      </c>
      <c r="B2" t="s">
        <v>5</v>
      </c>
      <c r="C2">
        <v>0</v>
      </c>
      <c r="D2" t="s">
        <v>6</v>
      </c>
      <c r="E2" t="str">
        <f>CONCATENATE(A2,"-",B2,"-",C2,"",D2)</f>
        <v>TO-T1-0a</v>
      </c>
      <c r="F2">
        <v>39.06</v>
      </c>
      <c r="G2">
        <f>F2+H2</f>
        <v>41.260000000000005</v>
      </c>
      <c r="H2">
        <v>2.2000000000000002</v>
      </c>
      <c r="I2">
        <v>20.239999999999998</v>
      </c>
      <c r="J2">
        <v>41.54</v>
      </c>
      <c r="K2">
        <f>J2-F2</f>
        <v>2.4799999999999969</v>
      </c>
      <c r="L2">
        <v>39.89</v>
      </c>
      <c r="M2" s="1">
        <f>J2-L2</f>
        <v>1.6499999999999986</v>
      </c>
      <c r="N2">
        <f>((K2-M2)/K2)*100</f>
        <v>33.467741935483843</v>
      </c>
    </row>
    <row r="3" spans="1:14" x14ac:dyDescent="0.3">
      <c r="A3" t="s">
        <v>3</v>
      </c>
      <c r="B3" t="s">
        <v>5</v>
      </c>
      <c r="C3">
        <v>0</v>
      </c>
      <c r="D3" t="s">
        <v>7</v>
      </c>
      <c r="E3" t="str">
        <f t="shared" ref="E3:E66" si="0">CONCATENATE(A3,"-",B3,"-",C3,"",D3)</f>
        <v>TO-T1-0b</v>
      </c>
      <c r="F3">
        <v>39.03</v>
      </c>
      <c r="G3">
        <f>F3+H3</f>
        <v>41.22</v>
      </c>
      <c r="H3">
        <v>2.19</v>
      </c>
      <c r="I3">
        <v>20.34</v>
      </c>
      <c r="J3">
        <v>41.43</v>
      </c>
      <c r="K3">
        <f>J3-F3</f>
        <v>2.3999999999999986</v>
      </c>
      <c r="L3">
        <v>39.83</v>
      </c>
      <c r="M3" s="1">
        <f t="shared" ref="M3:M13" si="1">J3-L3</f>
        <v>1.6000000000000014</v>
      </c>
      <c r="N3">
        <f t="shared" ref="N3:N66" si="2">((K3-M3)/K3)*100</f>
        <v>33.333333333333236</v>
      </c>
    </row>
    <row r="4" spans="1:14" x14ac:dyDescent="0.3">
      <c r="A4" t="s">
        <v>3</v>
      </c>
      <c r="B4" t="s">
        <v>5</v>
      </c>
      <c r="C4">
        <v>0</v>
      </c>
      <c r="D4" t="s">
        <v>8</v>
      </c>
      <c r="E4" t="str">
        <f t="shared" si="0"/>
        <v>TO-T1-0c</v>
      </c>
      <c r="F4">
        <v>39.15</v>
      </c>
      <c r="G4">
        <f>F4+H4</f>
        <v>41.36</v>
      </c>
      <c r="H4">
        <v>2.21</v>
      </c>
      <c r="I4">
        <v>20.22</v>
      </c>
      <c r="J4">
        <v>41.66</v>
      </c>
      <c r="K4">
        <f>J4-F4</f>
        <v>2.509999999999998</v>
      </c>
      <c r="L4">
        <v>39.99</v>
      </c>
      <c r="M4" s="1">
        <f t="shared" si="1"/>
        <v>1.6699999999999946</v>
      </c>
      <c r="N4">
        <f t="shared" si="2"/>
        <v>33.466135458167493</v>
      </c>
    </row>
    <row r="5" spans="1:14" x14ac:dyDescent="0.3">
      <c r="A5" t="s">
        <v>3</v>
      </c>
      <c r="B5" t="s">
        <v>10</v>
      </c>
      <c r="C5">
        <v>0</v>
      </c>
      <c r="D5" t="s">
        <v>6</v>
      </c>
      <c r="E5" t="str">
        <f t="shared" si="0"/>
        <v>TO-T2-0a</v>
      </c>
      <c r="F5">
        <v>39.909999999999997</v>
      </c>
      <c r="G5">
        <f>F5+H5</f>
        <v>42.099999999999994</v>
      </c>
      <c r="H5">
        <v>2.19</v>
      </c>
      <c r="I5">
        <v>20.13</v>
      </c>
      <c r="J5">
        <v>42.49</v>
      </c>
      <c r="K5">
        <f>J5-F5</f>
        <v>2.5800000000000054</v>
      </c>
      <c r="L5">
        <v>40.770000000000003</v>
      </c>
      <c r="M5" s="1">
        <f t="shared" si="1"/>
        <v>1.7199999999999989</v>
      </c>
      <c r="N5">
        <f t="shared" si="2"/>
        <v>33.333333333333513</v>
      </c>
    </row>
    <row r="6" spans="1:14" x14ac:dyDescent="0.3">
      <c r="A6" t="s">
        <v>3</v>
      </c>
      <c r="B6" t="s">
        <v>10</v>
      </c>
      <c r="C6">
        <v>0</v>
      </c>
      <c r="D6" t="s">
        <v>7</v>
      </c>
      <c r="E6" t="str">
        <f t="shared" si="0"/>
        <v>TO-T2-0b</v>
      </c>
      <c r="F6">
        <v>39.97</v>
      </c>
      <c r="G6">
        <f>F6+H6</f>
        <v>42.19</v>
      </c>
      <c r="H6">
        <v>2.2200000000000002</v>
      </c>
      <c r="I6">
        <v>20.29</v>
      </c>
      <c r="J6">
        <v>42.46</v>
      </c>
      <c r="K6">
        <f>J6-F6</f>
        <v>2.490000000000002</v>
      </c>
      <c r="L6">
        <v>40.777000000000001</v>
      </c>
      <c r="M6" s="1">
        <f t="shared" si="1"/>
        <v>1.6829999999999998</v>
      </c>
      <c r="N6">
        <f t="shared" si="2"/>
        <v>32.409638554216933</v>
      </c>
    </row>
    <row r="7" spans="1:14" x14ac:dyDescent="0.3">
      <c r="A7" t="s">
        <v>3</v>
      </c>
      <c r="B7" t="s">
        <v>10</v>
      </c>
      <c r="C7">
        <v>0</v>
      </c>
      <c r="D7" t="s">
        <v>8</v>
      </c>
      <c r="E7" t="str">
        <f t="shared" si="0"/>
        <v>TO-T2-0c</v>
      </c>
      <c r="F7">
        <v>39.200000000000003</v>
      </c>
      <c r="G7">
        <f>F7+H7</f>
        <v>41.43</v>
      </c>
      <c r="H7">
        <v>2.23</v>
      </c>
      <c r="I7">
        <v>20.11</v>
      </c>
      <c r="J7">
        <v>41.76</v>
      </c>
      <c r="K7">
        <f>J7-F7</f>
        <v>2.5599999999999952</v>
      </c>
      <c r="L7">
        <v>40.049999999999997</v>
      </c>
      <c r="M7" s="1">
        <f t="shared" si="1"/>
        <v>1.7100000000000009</v>
      </c>
      <c r="N7">
        <f t="shared" si="2"/>
        <v>33.203124999999837</v>
      </c>
    </row>
    <row r="8" spans="1:14" x14ac:dyDescent="0.3">
      <c r="A8" t="s">
        <v>3</v>
      </c>
      <c r="B8" t="s">
        <v>11</v>
      </c>
      <c r="C8">
        <v>0</v>
      </c>
      <c r="D8" t="s">
        <v>6</v>
      </c>
      <c r="E8" t="str">
        <f t="shared" si="0"/>
        <v>TO-T3-0a</v>
      </c>
      <c r="F8">
        <v>39.1</v>
      </c>
      <c r="G8">
        <f>F8+H8</f>
        <v>41.28</v>
      </c>
      <c r="H8">
        <v>2.1800000000000002</v>
      </c>
      <c r="I8">
        <v>20.29</v>
      </c>
      <c r="J8">
        <v>41.61</v>
      </c>
      <c r="K8">
        <f>J8-F8</f>
        <v>2.509999999999998</v>
      </c>
      <c r="L8">
        <v>39.880000000000003</v>
      </c>
      <c r="M8" s="1">
        <f t="shared" si="1"/>
        <v>1.7299999999999969</v>
      </c>
      <c r="N8">
        <f t="shared" si="2"/>
        <v>31.07569721115545</v>
      </c>
    </row>
    <row r="9" spans="1:14" x14ac:dyDescent="0.3">
      <c r="A9" t="s">
        <v>3</v>
      </c>
      <c r="B9" t="s">
        <v>11</v>
      </c>
      <c r="C9">
        <v>0</v>
      </c>
      <c r="D9" t="s">
        <v>7</v>
      </c>
      <c r="E9" t="str">
        <f t="shared" si="0"/>
        <v>TO-T3-0b</v>
      </c>
      <c r="F9">
        <v>39.86</v>
      </c>
      <c r="G9">
        <f>F9+H9</f>
        <v>42.04</v>
      </c>
      <c r="H9">
        <v>2.1800000000000002</v>
      </c>
      <c r="I9">
        <v>20.190000000000001</v>
      </c>
      <c r="J9">
        <v>42.32</v>
      </c>
      <c r="K9">
        <f>J9-F9</f>
        <v>2.4600000000000009</v>
      </c>
      <c r="L9">
        <v>40.61</v>
      </c>
      <c r="M9" s="1">
        <f t="shared" si="1"/>
        <v>1.7100000000000009</v>
      </c>
      <c r="N9">
        <f t="shared" si="2"/>
        <v>30.48780487804877</v>
      </c>
    </row>
    <row r="10" spans="1:14" x14ac:dyDescent="0.3">
      <c r="A10" t="s">
        <v>3</v>
      </c>
      <c r="B10" t="s">
        <v>11</v>
      </c>
      <c r="C10">
        <v>0</v>
      </c>
      <c r="D10" t="s">
        <v>8</v>
      </c>
      <c r="E10" t="str">
        <f t="shared" si="0"/>
        <v>TO-T3-0c</v>
      </c>
      <c r="F10">
        <v>39.86</v>
      </c>
      <c r="G10">
        <f>F10+H10</f>
        <v>42.019999999999996</v>
      </c>
      <c r="H10">
        <v>2.16</v>
      </c>
      <c r="I10">
        <v>20.87</v>
      </c>
      <c r="J10">
        <v>42.48</v>
      </c>
      <c r="K10">
        <f>J10-F10</f>
        <v>2.6199999999999974</v>
      </c>
      <c r="L10">
        <v>40.659999999999997</v>
      </c>
      <c r="M10" s="1">
        <f t="shared" si="1"/>
        <v>1.8200000000000003</v>
      </c>
      <c r="N10">
        <f t="shared" si="2"/>
        <v>30.534351145038091</v>
      </c>
    </row>
    <row r="11" spans="1:14" x14ac:dyDescent="0.3">
      <c r="A11" t="s">
        <v>3</v>
      </c>
      <c r="B11" t="s">
        <v>5</v>
      </c>
      <c r="C11">
        <v>1</v>
      </c>
      <c r="D11" t="s">
        <v>6</v>
      </c>
      <c r="E11" t="str">
        <f t="shared" si="0"/>
        <v>TO-T1-1a</v>
      </c>
      <c r="F11">
        <v>41.8</v>
      </c>
      <c r="G11">
        <f>F11+H11</f>
        <v>44.01</v>
      </c>
      <c r="H11">
        <v>2.21</v>
      </c>
      <c r="I11">
        <v>20.49</v>
      </c>
      <c r="J11">
        <v>44.29</v>
      </c>
      <c r="K11">
        <f>J11-F11</f>
        <v>2.490000000000002</v>
      </c>
      <c r="L11">
        <v>42.55</v>
      </c>
      <c r="M11" s="1">
        <f t="shared" si="1"/>
        <v>1.740000000000002</v>
      </c>
      <c r="N11">
        <f t="shared" si="2"/>
        <v>30.12048192771082</v>
      </c>
    </row>
    <row r="12" spans="1:14" x14ac:dyDescent="0.3">
      <c r="A12" t="s">
        <v>3</v>
      </c>
      <c r="B12" t="s">
        <v>5</v>
      </c>
      <c r="C12">
        <v>1</v>
      </c>
      <c r="D12" t="s">
        <v>7</v>
      </c>
      <c r="E12" t="str">
        <f t="shared" si="0"/>
        <v>TO-T1-1b</v>
      </c>
      <c r="F12">
        <v>39.9</v>
      </c>
      <c r="G12">
        <f>F12+H12</f>
        <v>42.11</v>
      </c>
      <c r="H12">
        <v>2.21</v>
      </c>
      <c r="I12">
        <v>20.39</v>
      </c>
      <c r="J12">
        <v>42.42</v>
      </c>
      <c r="K12">
        <f>J12-F12</f>
        <v>2.5200000000000031</v>
      </c>
      <c r="L12">
        <v>40.700000000000003</v>
      </c>
      <c r="M12" s="1">
        <f t="shared" si="1"/>
        <v>1.7199999999999989</v>
      </c>
      <c r="N12">
        <f t="shared" si="2"/>
        <v>31.746031746031878</v>
      </c>
    </row>
    <row r="13" spans="1:14" x14ac:dyDescent="0.3">
      <c r="A13" t="s">
        <v>3</v>
      </c>
      <c r="B13" t="s">
        <v>5</v>
      </c>
      <c r="C13">
        <v>1</v>
      </c>
      <c r="D13" t="s">
        <v>8</v>
      </c>
      <c r="E13" t="str">
        <f t="shared" si="0"/>
        <v>TO-T1-1c</v>
      </c>
      <c r="F13">
        <v>39.92</v>
      </c>
      <c r="G13">
        <f>F13+H13</f>
        <v>42.120000000000005</v>
      </c>
      <c r="H13">
        <v>2.2000000000000002</v>
      </c>
      <c r="I13">
        <v>20</v>
      </c>
      <c r="J13">
        <v>42.34</v>
      </c>
      <c r="K13">
        <f>J13-F13</f>
        <v>2.4200000000000017</v>
      </c>
      <c r="L13">
        <v>40.64</v>
      </c>
      <c r="M13" s="1">
        <f t="shared" si="1"/>
        <v>1.7000000000000028</v>
      </c>
      <c r="N13">
        <f t="shared" si="2"/>
        <v>29.752066115702412</v>
      </c>
    </row>
    <row r="14" spans="1:14" x14ac:dyDescent="0.3">
      <c r="A14" t="s">
        <v>3</v>
      </c>
      <c r="B14" t="s">
        <v>10</v>
      </c>
      <c r="C14">
        <v>1</v>
      </c>
      <c r="D14" t="s">
        <v>6</v>
      </c>
      <c r="E14" t="str">
        <f t="shared" si="0"/>
        <v>TO-T2-1a</v>
      </c>
      <c r="F14">
        <f>G14-H14</f>
        <v>39.86</v>
      </c>
      <c r="G14">
        <v>42.06</v>
      </c>
      <c r="H14">
        <v>2.2000000000000002</v>
      </c>
      <c r="I14">
        <v>20.079999999999998</v>
      </c>
      <c r="J14">
        <v>42.32</v>
      </c>
      <c r="K14">
        <f>J14-F14</f>
        <v>2.4600000000000009</v>
      </c>
      <c r="L14">
        <v>40.619999999999997</v>
      </c>
      <c r="M14" s="1">
        <f t="shared" ref="M14:M73" si="3">J14-L14</f>
        <v>1.7000000000000028</v>
      </c>
      <c r="N14">
        <f t="shared" si="2"/>
        <v>30.894308943089339</v>
      </c>
    </row>
    <row r="15" spans="1:14" x14ac:dyDescent="0.3">
      <c r="A15" t="s">
        <v>3</v>
      </c>
      <c r="B15" t="s">
        <v>10</v>
      </c>
      <c r="C15">
        <v>1</v>
      </c>
      <c r="D15" t="s">
        <v>7</v>
      </c>
      <c r="E15" t="str">
        <f t="shared" si="0"/>
        <v>TO-T2-1b</v>
      </c>
      <c r="F15">
        <f t="shared" ref="F15:F73" si="4">G15-H15</f>
        <v>39.900000000000006</v>
      </c>
      <c r="G15">
        <v>42.09</v>
      </c>
      <c r="H15">
        <v>2.19</v>
      </c>
      <c r="I15">
        <v>20.03</v>
      </c>
      <c r="J15">
        <v>42.49</v>
      </c>
      <c r="K15">
        <f>J15-F15</f>
        <v>2.5899999999999963</v>
      </c>
      <c r="L15">
        <v>40.71</v>
      </c>
      <c r="M15" s="1">
        <f>J15-L15</f>
        <v>1.7800000000000011</v>
      </c>
      <c r="N15">
        <f t="shared" si="2"/>
        <v>31.274131274131133</v>
      </c>
    </row>
    <row r="16" spans="1:14" x14ac:dyDescent="0.3">
      <c r="A16" t="s">
        <v>3</v>
      </c>
      <c r="B16" t="s">
        <v>10</v>
      </c>
      <c r="C16">
        <v>1</v>
      </c>
      <c r="D16" t="s">
        <v>8</v>
      </c>
      <c r="E16" t="str">
        <f t="shared" si="0"/>
        <v>TO-T2-1c</v>
      </c>
      <c r="F16">
        <f t="shared" si="4"/>
        <v>39.940000000000005</v>
      </c>
      <c r="G16">
        <v>42.13</v>
      </c>
      <c r="H16">
        <v>2.19</v>
      </c>
      <c r="I16">
        <v>20.79</v>
      </c>
      <c r="J16">
        <v>42.52</v>
      </c>
      <c r="K16">
        <f>J16-F16</f>
        <v>2.5799999999999983</v>
      </c>
      <c r="L16">
        <v>40.74</v>
      </c>
      <c r="M16" s="1">
        <f t="shared" si="3"/>
        <v>1.7800000000000011</v>
      </c>
      <c r="N16">
        <f t="shared" si="2"/>
        <v>31.007751937984406</v>
      </c>
    </row>
    <row r="17" spans="1:14" x14ac:dyDescent="0.3">
      <c r="A17" t="s">
        <v>3</v>
      </c>
      <c r="B17" t="s">
        <v>11</v>
      </c>
      <c r="C17">
        <v>1</v>
      </c>
      <c r="D17" t="s">
        <v>6</v>
      </c>
      <c r="E17" t="str">
        <f t="shared" si="0"/>
        <v>TO-T3-1a</v>
      </c>
      <c r="F17">
        <f t="shared" si="4"/>
        <v>39.99</v>
      </c>
      <c r="G17">
        <v>42.2</v>
      </c>
      <c r="H17">
        <v>2.21</v>
      </c>
      <c r="I17">
        <v>20.59</v>
      </c>
      <c r="J17">
        <v>42.65</v>
      </c>
      <c r="K17">
        <f>J17-F17</f>
        <v>2.6599999999999966</v>
      </c>
      <c r="L17">
        <v>40.869999999999997</v>
      </c>
      <c r="M17" s="1">
        <f t="shared" si="3"/>
        <v>1.7800000000000011</v>
      </c>
      <c r="N17">
        <f t="shared" si="2"/>
        <v>33.082706766917163</v>
      </c>
    </row>
    <row r="18" spans="1:14" x14ac:dyDescent="0.3">
      <c r="A18" t="s">
        <v>3</v>
      </c>
      <c r="B18" t="s">
        <v>11</v>
      </c>
      <c r="C18">
        <v>1</v>
      </c>
      <c r="D18" t="s">
        <v>7</v>
      </c>
      <c r="E18" t="str">
        <f t="shared" si="0"/>
        <v>TO-T3-1b</v>
      </c>
      <c r="F18">
        <f t="shared" si="4"/>
        <v>39.17</v>
      </c>
      <c r="G18">
        <v>41.4</v>
      </c>
      <c r="H18">
        <v>2.23</v>
      </c>
      <c r="I18">
        <v>20.05</v>
      </c>
      <c r="J18">
        <v>41.72</v>
      </c>
      <c r="K18">
        <f>J18-F18</f>
        <v>2.5499999999999972</v>
      </c>
      <c r="L18">
        <v>40.01</v>
      </c>
      <c r="M18" s="1">
        <f t="shared" si="3"/>
        <v>1.7100000000000009</v>
      </c>
      <c r="N18">
        <f t="shared" si="2"/>
        <v>32.941176470588132</v>
      </c>
    </row>
    <row r="19" spans="1:14" x14ac:dyDescent="0.3">
      <c r="A19" t="s">
        <v>3</v>
      </c>
      <c r="B19" t="s">
        <v>11</v>
      </c>
      <c r="C19">
        <v>1</v>
      </c>
      <c r="D19" t="s">
        <v>8</v>
      </c>
      <c r="E19" t="str">
        <f t="shared" si="0"/>
        <v>TO-T3-1c</v>
      </c>
      <c r="F19">
        <f t="shared" si="4"/>
        <v>39.029999999999994</v>
      </c>
      <c r="G19">
        <v>41.23</v>
      </c>
      <c r="H19">
        <v>2.2000000000000002</v>
      </c>
      <c r="I19">
        <v>20.260000000000002</v>
      </c>
      <c r="J19">
        <v>41.59</v>
      </c>
      <c r="K19">
        <f>J19-F19</f>
        <v>2.5600000000000094</v>
      </c>
      <c r="L19">
        <v>39.86</v>
      </c>
      <c r="M19" s="1">
        <f t="shared" si="3"/>
        <v>1.730000000000004</v>
      </c>
      <c r="N19">
        <f t="shared" si="2"/>
        <v>32.421875000000092</v>
      </c>
    </row>
    <row r="20" spans="1:14" x14ac:dyDescent="0.3">
      <c r="A20" t="s">
        <v>3</v>
      </c>
      <c r="B20" t="s">
        <v>5</v>
      </c>
      <c r="C20">
        <v>3</v>
      </c>
      <c r="D20" t="s">
        <v>6</v>
      </c>
      <c r="E20" t="str">
        <f t="shared" si="0"/>
        <v>TO-T1-3a</v>
      </c>
      <c r="F20">
        <f t="shared" si="4"/>
        <v>39.910000000000004</v>
      </c>
      <c r="G20">
        <v>42.13</v>
      </c>
      <c r="H20">
        <v>2.2200000000000002</v>
      </c>
      <c r="I20">
        <v>20.3</v>
      </c>
      <c r="J20">
        <v>42.45</v>
      </c>
      <c r="K20">
        <f>J20-F20</f>
        <v>2.5399999999999991</v>
      </c>
      <c r="L20">
        <v>40.729999999999997</v>
      </c>
      <c r="M20" s="1">
        <f t="shared" si="3"/>
        <v>1.720000000000006</v>
      </c>
      <c r="N20">
        <f t="shared" si="2"/>
        <v>32.283464566928878</v>
      </c>
    </row>
    <row r="21" spans="1:14" x14ac:dyDescent="0.3">
      <c r="A21" t="s">
        <v>3</v>
      </c>
      <c r="B21" t="s">
        <v>5</v>
      </c>
      <c r="C21">
        <v>3</v>
      </c>
      <c r="D21" t="s">
        <v>7</v>
      </c>
      <c r="E21" t="str">
        <f t="shared" si="0"/>
        <v>TO-T1-3b</v>
      </c>
      <c r="F21">
        <f t="shared" si="4"/>
        <v>41.79</v>
      </c>
      <c r="G21">
        <v>44</v>
      </c>
      <c r="H21">
        <v>2.21</v>
      </c>
      <c r="I21">
        <v>20.47</v>
      </c>
      <c r="J21">
        <v>44.4</v>
      </c>
      <c r="K21">
        <f>J21-F21</f>
        <v>2.6099999999999994</v>
      </c>
      <c r="L21">
        <v>42.65</v>
      </c>
      <c r="M21" s="1">
        <f t="shared" si="3"/>
        <v>1.75</v>
      </c>
      <c r="N21">
        <f t="shared" si="2"/>
        <v>32.950191570881209</v>
      </c>
    </row>
    <row r="22" spans="1:14" x14ac:dyDescent="0.3">
      <c r="A22" t="s">
        <v>3</v>
      </c>
      <c r="B22" t="s">
        <v>5</v>
      </c>
      <c r="C22">
        <v>3</v>
      </c>
      <c r="D22" t="s">
        <v>8</v>
      </c>
      <c r="E22" t="str">
        <f t="shared" si="0"/>
        <v>TO-T1-3c</v>
      </c>
      <c r="F22">
        <f t="shared" si="4"/>
        <v>41.709999999999994</v>
      </c>
      <c r="G22">
        <v>43.87</v>
      </c>
      <c r="H22">
        <v>2.16</v>
      </c>
      <c r="I22">
        <v>20.059999999999999</v>
      </c>
      <c r="J22">
        <v>44.22</v>
      </c>
      <c r="K22">
        <f>J22-F22</f>
        <v>2.5100000000000051</v>
      </c>
      <c r="L22">
        <v>42.47</v>
      </c>
      <c r="M22" s="1">
        <f t="shared" si="3"/>
        <v>1.75</v>
      </c>
      <c r="N22">
        <f t="shared" si="2"/>
        <v>30.278884462151535</v>
      </c>
    </row>
    <row r="23" spans="1:14" x14ac:dyDescent="0.3">
      <c r="A23" t="s">
        <v>3</v>
      </c>
      <c r="B23" t="s">
        <v>10</v>
      </c>
      <c r="C23">
        <v>3</v>
      </c>
      <c r="D23" t="s">
        <v>6</v>
      </c>
      <c r="E23" t="str">
        <f t="shared" si="0"/>
        <v>TO-T2-3a</v>
      </c>
      <c r="F23">
        <f t="shared" si="4"/>
        <v>39.08</v>
      </c>
      <c r="G23">
        <v>41.3</v>
      </c>
      <c r="H23">
        <v>2.2200000000000002</v>
      </c>
      <c r="I23">
        <v>20.6</v>
      </c>
      <c r="J23">
        <v>41.74</v>
      </c>
      <c r="K23">
        <f>J23-F23</f>
        <v>2.6600000000000037</v>
      </c>
      <c r="L23">
        <v>39.93</v>
      </c>
      <c r="M23" s="1">
        <f t="shared" si="3"/>
        <v>1.8100000000000023</v>
      </c>
      <c r="N23">
        <f t="shared" si="2"/>
        <v>31.954887218045119</v>
      </c>
    </row>
    <row r="24" spans="1:14" x14ac:dyDescent="0.3">
      <c r="A24" t="s">
        <v>3</v>
      </c>
      <c r="B24" t="s">
        <v>10</v>
      </c>
      <c r="C24">
        <v>3</v>
      </c>
      <c r="D24" t="s">
        <v>7</v>
      </c>
      <c r="E24" t="str">
        <f t="shared" si="0"/>
        <v>TO-T2-3b</v>
      </c>
      <c r="F24">
        <f t="shared" si="4"/>
        <v>39.979999999999997</v>
      </c>
      <c r="G24">
        <v>42.19</v>
      </c>
      <c r="H24">
        <v>2.21</v>
      </c>
      <c r="I24">
        <v>20.46</v>
      </c>
      <c r="J24">
        <v>42.62</v>
      </c>
      <c r="K24">
        <f>J24-F24</f>
        <v>2.6400000000000006</v>
      </c>
      <c r="L24">
        <v>40.840000000000003</v>
      </c>
      <c r="M24" s="1">
        <f t="shared" si="3"/>
        <v>1.779999999999994</v>
      </c>
      <c r="N24">
        <f t="shared" si="2"/>
        <v>32.575757575757819</v>
      </c>
    </row>
    <row r="25" spans="1:14" x14ac:dyDescent="0.3">
      <c r="A25" t="s">
        <v>3</v>
      </c>
      <c r="B25" t="s">
        <v>10</v>
      </c>
      <c r="C25">
        <v>3</v>
      </c>
      <c r="D25" t="s">
        <v>8</v>
      </c>
      <c r="E25" t="str">
        <f t="shared" si="0"/>
        <v>TO-T2-3c</v>
      </c>
      <c r="F25">
        <f t="shared" si="4"/>
        <v>39.9</v>
      </c>
      <c r="G25">
        <v>42.12</v>
      </c>
      <c r="H25">
        <v>2.2200000000000002</v>
      </c>
      <c r="I25">
        <v>20.54</v>
      </c>
      <c r="J25">
        <v>42.47</v>
      </c>
      <c r="K25">
        <f>J25-F25</f>
        <v>2.5700000000000003</v>
      </c>
      <c r="L25">
        <v>40.72</v>
      </c>
      <c r="M25" s="1">
        <f t="shared" si="3"/>
        <v>1.75</v>
      </c>
      <c r="N25">
        <f t="shared" si="2"/>
        <v>31.906614785992225</v>
      </c>
    </row>
    <row r="26" spans="1:14" x14ac:dyDescent="0.3">
      <c r="A26" t="s">
        <v>3</v>
      </c>
      <c r="B26" t="s">
        <v>11</v>
      </c>
      <c r="C26">
        <v>3</v>
      </c>
      <c r="D26" t="s">
        <v>6</v>
      </c>
      <c r="E26" t="str">
        <f t="shared" si="0"/>
        <v>TO-T3-3a</v>
      </c>
      <c r="F26">
        <f t="shared" si="4"/>
        <v>39.92</v>
      </c>
      <c r="G26">
        <v>42.1</v>
      </c>
      <c r="H26">
        <v>2.1800000000000002</v>
      </c>
      <c r="I26">
        <v>20.49</v>
      </c>
      <c r="J26">
        <v>42.52</v>
      </c>
      <c r="K26">
        <f>J26-F26</f>
        <v>2.6000000000000014</v>
      </c>
      <c r="L26">
        <v>40.76</v>
      </c>
      <c r="M26" s="1">
        <f t="shared" si="3"/>
        <v>1.7600000000000051</v>
      </c>
      <c r="N26">
        <f t="shared" si="2"/>
        <v>32.30769230769215</v>
      </c>
    </row>
    <row r="27" spans="1:14" x14ac:dyDescent="0.3">
      <c r="A27" t="s">
        <v>3</v>
      </c>
      <c r="B27" t="s">
        <v>11</v>
      </c>
      <c r="C27">
        <v>3</v>
      </c>
      <c r="D27" t="s">
        <v>7</v>
      </c>
      <c r="E27" t="str">
        <f t="shared" si="0"/>
        <v>TO-T3-3b</v>
      </c>
      <c r="F27">
        <f t="shared" si="4"/>
        <v>41.76</v>
      </c>
      <c r="G27">
        <v>43.97</v>
      </c>
      <c r="H27">
        <v>2.21</v>
      </c>
      <c r="I27">
        <v>21.34</v>
      </c>
      <c r="J27">
        <v>44.57</v>
      </c>
      <c r="K27">
        <f>J27-F27</f>
        <v>2.8100000000000023</v>
      </c>
      <c r="L27">
        <v>42.64</v>
      </c>
      <c r="M27" s="1">
        <f t="shared" si="3"/>
        <v>1.9299999999999997</v>
      </c>
      <c r="N27">
        <f t="shared" si="2"/>
        <v>31.316725978647753</v>
      </c>
    </row>
    <row r="28" spans="1:14" x14ac:dyDescent="0.3">
      <c r="A28" t="s">
        <v>3</v>
      </c>
      <c r="B28" t="s">
        <v>11</v>
      </c>
      <c r="C28">
        <v>3</v>
      </c>
      <c r="D28" t="s">
        <v>8</v>
      </c>
      <c r="E28" t="str">
        <f t="shared" si="0"/>
        <v>TO-T3-3c</v>
      </c>
      <c r="F28">
        <f t="shared" si="4"/>
        <v>41.779999999999994</v>
      </c>
      <c r="G28">
        <v>43.98</v>
      </c>
      <c r="H28">
        <v>2.2000000000000002</v>
      </c>
      <c r="I28">
        <v>20.75</v>
      </c>
      <c r="J28">
        <v>44.47</v>
      </c>
      <c r="K28">
        <f>J28-F28</f>
        <v>2.6900000000000048</v>
      </c>
      <c r="L28">
        <v>42.63</v>
      </c>
      <c r="M28" s="1">
        <f t="shared" si="3"/>
        <v>1.8399999999999963</v>
      </c>
      <c r="N28">
        <f t="shared" si="2"/>
        <v>31.598513011152679</v>
      </c>
    </row>
    <row r="29" spans="1:14" x14ac:dyDescent="0.3">
      <c r="A29" t="s">
        <v>3</v>
      </c>
      <c r="B29" t="s">
        <v>5</v>
      </c>
      <c r="C29">
        <v>7</v>
      </c>
      <c r="D29" t="s">
        <v>6</v>
      </c>
      <c r="E29" t="str">
        <f t="shared" si="0"/>
        <v>TO-T1-7a</v>
      </c>
      <c r="F29">
        <f t="shared" si="4"/>
        <v>41.85</v>
      </c>
      <c r="G29">
        <v>44.03</v>
      </c>
      <c r="H29">
        <v>2.1800000000000002</v>
      </c>
      <c r="I29">
        <v>20.37</v>
      </c>
      <c r="J29">
        <v>44.46</v>
      </c>
      <c r="K29">
        <f>J29-F29</f>
        <v>2.6099999999999994</v>
      </c>
      <c r="L29">
        <v>42.71</v>
      </c>
      <c r="M29" s="1">
        <f t="shared" si="3"/>
        <v>1.75</v>
      </c>
      <c r="N29">
        <f t="shared" si="2"/>
        <v>32.950191570881209</v>
      </c>
    </row>
    <row r="30" spans="1:14" x14ac:dyDescent="0.3">
      <c r="A30" t="s">
        <v>3</v>
      </c>
      <c r="B30" t="s">
        <v>5</v>
      </c>
      <c r="C30">
        <v>7</v>
      </c>
      <c r="D30" t="s">
        <v>7</v>
      </c>
      <c r="E30" t="str">
        <f>CONCATENATE(A30,"-",B30,"-",C30,"",D30)</f>
        <v>TO-T1-7b</v>
      </c>
      <c r="F30">
        <f t="shared" si="4"/>
        <v>39.879999999999995</v>
      </c>
      <c r="G30">
        <v>42.05</v>
      </c>
      <c r="H30">
        <v>2.17</v>
      </c>
      <c r="I30">
        <v>20.22</v>
      </c>
      <c r="J30">
        <v>42.45</v>
      </c>
      <c r="K30">
        <f>J30-F30</f>
        <v>2.5700000000000074</v>
      </c>
      <c r="L30">
        <v>40.75</v>
      </c>
      <c r="M30" s="1">
        <f>J30-L30</f>
        <v>1.7000000000000028</v>
      </c>
      <c r="N30">
        <f t="shared" si="2"/>
        <v>33.85214007782109</v>
      </c>
    </row>
    <row r="31" spans="1:14" x14ac:dyDescent="0.3">
      <c r="A31" t="s">
        <v>3</v>
      </c>
      <c r="B31" t="s">
        <v>5</v>
      </c>
      <c r="C31">
        <v>7</v>
      </c>
      <c r="D31" t="s">
        <v>8</v>
      </c>
      <c r="E31" t="str">
        <f t="shared" si="0"/>
        <v>TO-T1-7c</v>
      </c>
      <c r="F31">
        <f t="shared" si="4"/>
        <v>39.22</v>
      </c>
      <c r="G31">
        <v>41.4</v>
      </c>
      <c r="H31">
        <v>2.1800000000000002</v>
      </c>
      <c r="I31">
        <v>20.28</v>
      </c>
      <c r="J31">
        <v>41.76</v>
      </c>
      <c r="K31">
        <f>J31-F31</f>
        <v>2.5399999999999991</v>
      </c>
      <c r="L31">
        <v>40.049999999999997</v>
      </c>
      <c r="M31" s="1">
        <f t="shared" si="3"/>
        <v>1.7100000000000009</v>
      </c>
      <c r="N31">
        <f t="shared" si="2"/>
        <v>32.677165354330654</v>
      </c>
    </row>
    <row r="32" spans="1:14" x14ac:dyDescent="0.3">
      <c r="A32" t="s">
        <v>3</v>
      </c>
      <c r="B32" t="s">
        <v>10</v>
      </c>
      <c r="C32">
        <v>7</v>
      </c>
      <c r="D32" t="s">
        <v>6</v>
      </c>
      <c r="E32" t="str">
        <f t="shared" si="0"/>
        <v>TO-T2-7a</v>
      </c>
      <c r="F32">
        <f t="shared" si="4"/>
        <v>39.89</v>
      </c>
      <c r="G32">
        <v>42.07</v>
      </c>
      <c r="H32">
        <v>2.1800000000000002</v>
      </c>
      <c r="I32">
        <v>20.11</v>
      </c>
      <c r="J32">
        <v>42.47</v>
      </c>
      <c r="K32">
        <f>J32-F32</f>
        <v>2.5799999999999983</v>
      </c>
      <c r="L32">
        <v>40.770000000000003</v>
      </c>
      <c r="M32" s="1">
        <f t="shared" si="3"/>
        <v>1.6999999999999957</v>
      </c>
      <c r="N32">
        <f t="shared" si="2"/>
        <v>34.10852713178307</v>
      </c>
    </row>
    <row r="33" spans="1:14" x14ac:dyDescent="0.3">
      <c r="A33" t="s">
        <v>3</v>
      </c>
      <c r="B33" t="s">
        <v>10</v>
      </c>
      <c r="C33">
        <v>7</v>
      </c>
      <c r="D33" t="s">
        <v>7</v>
      </c>
      <c r="E33" t="str">
        <f t="shared" si="0"/>
        <v>TO-T2-7b</v>
      </c>
      <c r="F33">
        <f t="shared" si="4"/>
        <v>41.85</v>
      </c>
      <c r="G33">
        <v>44.02</v>
      </c>
      <c r="H33">
        <v>2.17</v>
      </c>
      <c r="I33">
        <v>20.170000000000002</v>
      </c>
      <c r="J33">
        <v>44.48</v>
      </c>
      <c r="K33">
        <f>J33-F33</f>
        <v>2.6299999999999955</v>
      </c>
      <c r="L33">
        <v>42.75</v>
      </c>
      <c r="M33" s="1">
        <f t="shared" si="3"/>
        <v>1.7299999999999969</v>
      </c>
      <c r="N33">
        <f t="shared" si="2"/>
        <v>34.220532319391637</v>
      </c>
    </row>
    <row r="34" spans="1:14" x14ac:dyDescent="0.3">
      <c r="A34" t="s">
        <v>3</v>
      </c>
      <c r="B34" t="s">
        <v>10</v>
      </c>
      <c r="C34">
        <v>7</v>
      </c>
      <c r="D34" t="s">
        <v>8</v>
      </c>
      <c r="E34" t="str">
        <f t="shared" si="0"/>
        <v>TO-T2-7c</v>
      </c>
      <c r="F34">
        <f t="shared" si="4"/>
        <v>39.86</v>
      </c>
      <c r="G34">
        <v>42.06</v>
      </c>
      <c r="H34">
        <v>2.2000000000000002</v>
      </c>
      <c r="I34">
        <v>20.05</v>
      </c>
      <c r="J34">
        <v>42.44</v>
      </c>
      <c r="K34">
        <f>J34-F34</f>
        <v>2.5799999999999983</v>
      </c>
      <c r="L34">
        <v>40.75</v>
      </c>
      <c r="M34" s="1">
        <f t="shared" si="3"/>
        <v>1.6899999999999977</v>
      </c>
      <c r="N34">
        <f t="shared" si="2"/>
        <v>34.496124031007795</v>
      </c>
    </row>
    <row r="35" spans="1:14" x14ac:dyDescent="0.3">
      <c r="A35" t="s">
        <v>3</v>
      </c>
      <c r="B35" t="s">
        <v>11</v>
      </c>
      <c r="C35">
        <v>7</v>
      </c>
      <c r="D35" t="s">
        <v>6</v>
      </c>
      <c r="E35" t="str">
        <f t="shared" si="0"/>
        <v>TO-T3-7a</v>
      </c>
      <c r="F35">
        <f t="shared" si="4"/>
        <v>39.92</v>
      </c>
      <c r="G35">
        <v>42.11</v>
      </c>
      <c r="H35">
        <v>2.19</v>
      </c>
      <c r="I35">
        <v>20.51</v>
      </c>
      <c r="J35">
        <v>42.6</v>
      </c>
      <c r="K35">
        <f>J35-F35</f>
        <v>2.6799999999999997</v>
      </c>
      <c r="L35">
        <v>40.85</v>
      </c>
      <c r="M35" s="1">
        <f t="shared" si="3"/>
        <v>1.75</v>
      </c>
      <c r="N35">
        <f t="shared" si="2"/>
        <v>34.701492537313428</v>
      </c>
    </row>
    <row r="36" spans="1:14" x14ac:dyDescent="0.3">
      <c r="A36" t="s">
        <v>3</v>
      </c>
      <c r="B36" t="s">
        <v>11</v>
      </c>
      <c r="C36">
        <v>7</v>
      </c>
      <c r="D36" t="s">
        <v>7</v>
      </c>
      <c r="E36" t="str">
        <f t="shared" si="0"/>
        <v>TO-T3-7b</v>
      </c>
      <c r="F36">
        <f t="shared" si="4"/>
        <v>39.910000000000004</v>
      </c>
      <c r="G36">
        <v>42.09</v>
      </c>
      <c r="H36">
        <v>2.1800000000000002</v>
      </c>
      <c r="I36">
        <v>20.329999999999998</v>
      </c>
      <c r="J36">
        <v>42.6</v>
      </c>
      <c r="K36">
        <f>J36-F36</f>
        <v>2.6899999999999977</v>
      </c>
      <c r="L36">
        <v>40.869999999999997</v>
      </c>
      <c r="M36" s="1">
        <f t="shared" si="3"/>
        <v>1.730000000000004</v>
      </c>
      <c r="N36">
        <f t="shared" si="2"/>
        <v>35.68773234200723</v>
      </c>
    </row>
    <row r="37" spans="1:14" x14ac:dyDescent="0.3">
      <c r="A37" t="s">
        <v>3</v>
      </c>
      <c r="B37" t="s">
        <v>11</v>
      </c>
      <c r="C37">
        <v>7</v>
      </c>
      <c r="D37" t="s">
        <v>8</v>
      </c>
      <c r="E37" t="str">
        <f t="shared" si="0"/>
        <v>TO-T3-7c</v>
      </c>
      <c r="F37">
        <f t="shared" si="4"/>
        <v>39.160000000000004</v>
      </c>
      <c r="G37">
        <v>41.38</v>
      </c>
      <c r="H37">
        <v>2.2200000000000002</v>
      </c>
      <c r="I37">
        <v>20.260000000000002</v>
      </c>
      <c r="J37">
        <v>41.75</v>
      </c>
      <c r="K37">
        <f>J37-F37</f>
        <v>2.5899999999999963</v>
      </c>
      <c r="L37">
        <v>40.11</v>
      </c>
      <c r="M37" s="1">
        <f t="shared" si="3"/>
        <v>1.6400000000000006</v>
      </c>
      <c r="N37">
        <f t="shared" si="2"/>
        <v>36.679536679536568</v>
      </c>
    </row>
    <row r="38" spans="1:14" x14ac:dyDescent="0.3">
      <c r="A38" t="s">
        <v>12</v>
      </c>
      <c r="B38" t="s">
        <v>5</v>
      </c>
      <c r="C38">
        <v>0</v>
      </c>
      <c r="D38" t="s">
        <v>6</v>
      </c>
      <c r="E38" t="str">
        <f t="shared" si="0"/>
        <v>PA-T1-0a</v>
      </c>
      <c r="F38">
        <f t="shared" si="4"/>
        <v>39.839999999999996</v>
      </c>
      <c r="G38">
        <v>42.01</v>
      </c>
      <c r="H38">
        <v>2.17</v>
      </c>
      <c r="I38">
        <v>20.5</v>
      </c>
      <c r="J38">
        <v>42.81</v>
      </c>
      <c r="K38">
        <f>J38-F38</f>
        <v>2.970000000000006</v>
      </c>
      <c r="L38">
        <v>41.78</v>
      </c>
      <c r="M38" s="1">
        <f t="shared" si="3"/>
        <v>1.0300000000000011</v>
      </c>
      <c r="N38">
        <f t="shared" si="2"/>
        <v>65.319865319865357</v>
      </c>
    </row>
    <row r="39" spans="1:14" x14ac:dyDescent="0.3">
      <c r="A39" t="s">
        <v>12</v>
      </c>
      <c r="B39" t="s">
        <v>5</v>
      </c>
      <c r="C39">
        <v>0</v>
      </c>
      <c r="D39" t="s">
        <v>7</v>
      </c>
      <c r="E39" t="str">
        <f t="shared" si="0"/>
        <v>PA-T1-0b</v>
      </c>
      <c r="F39">
        <f t="shared" si="4"/>
        <v>39.99</v>
      </c>
      <c r="G39">
        <v>42.21</v>
      </c>
      <c r="H39">
        <v>2.2200000000000002</v>
      </c>
      <c r="I39">
        <v>20.56</v>
      </c>
      <c r="J39">
        <v>42.84</v>
      </c>
      <c r="K39">
        <f>J39-F39</f>
        <v>2.8500000000000014</v>
      </c>
      <c r="L39">
        <v>41.81</v>
      </c>
      <c r="M39" s="1">
        <f t="shared" si="3"/>
        <v>1.0300000000000011</v>
      </c>
      <c r="N39">
        <f t="shared" si="2"/>
        <v>63.859649122806992</v>
      </c>
    </row>
    <row r="40" spans="1:14" x14ac:dyDescent="0.3">
      <c r="A40" t="s">
        <v>12</v>
      </c>
      <c r="B40" t="s">
        <v>5</v>
      </c>
      <c r="C40">
        <v>0</v>
      </c>
      <c r="D40" t="s">
        <v>8</v>
      </c>
      <c r="E40" t="str">
        <f t="shared" si="0"/>
        <v>PA-T1-0c</v>
      </c>
      <c r="F40">
        <f t="shared" si="4"/>
        <v>39.840000000000003</v>
      </c>
      <c r="G40">
        <v>42.06</v>
      </c>
      <c r="H40">
        <v>2.2200000000000002</v>
      </c>
      <c r="I40">
        <v>20.69</v>
      </c>
      <c r="J40">
        <v>42.72</v>
      </c>
      <c r="K40">
        <f>J40-F40</f>
        <v>2.8799999999999955</v>
      </c>
      <c r="L40">
        <v>41.73</v>
      </c>
      <c r="M40" s="1">
        <f t="shared" si="3"/>
        <v>0.99000000000000199</v>
      </c>
      <c r="N40">
        <f t="shared" si="2"/>
        <v>65.624999999999872</v>
      </c>
    </row>
    <row r="41" spans="1:14" x14ac:dyDescent="0.3">
      <c r="A41" t="s">
        <v>12</v>
      </c>
      <c r="B41" t="s">
        <v>10</v>
      </c>
      <c r="C41">
        <v>0</v>
      </c>
      <c r="D41" t="s">
        <v>6</v>
      </c>
      <c r="E41" t="str">
        <f t="shared" si="0"/>
        <v>PA-T2-0a</v>
      </c>
      <c r="F41">
        <f t="shared" si="4"/>
        <v>41.79</v>
      </c>
      <c r="G41">
        <v>44</v>
      </c>
      <c r="H41">
        <v>2.21</v>
      </c>
      <c r="I41">
        <v>20.46</v>
      </c>
      <c r="J41">
        <v>44.7</v>
      </c>
      <c r="K41">
        <f>J41-F41</f>
        <v>2.9100000000000037</v>
      </c>
      <c r="L41">
        <v>43.7</v>
      </c>
      <c r="M41" s="1">
        <f t="shared" si="3"/>
        <v>1</v>
      </c>
      <c r="N41">
        <f t="shared" si="2"/>
        <v>65.635738831615171</v>
      </c>
    </row>
    <row r="42" spans="1:14" x14ac:dyDescent="0.3">
      <c r="A42" t="s">
        <v>12</v>
      </c>
      <c r="B42" t="s">
        <v>10</v>
      </c>
      <c r="C42">
        <v>0</v>
      </c>
      <c r="D42" t="s">
        <v>7</v>
      </c>
      <c r="E42" t="str">
        <f t="shared" si="0"/>
        <v>PA-T2-0b</v>
      </c>
      <c r="F42">
        <f t="shared" si="4"/>
        <v>39.910000000000004</v>
      </c>
      <c r="G42">
        <v>42.14</v>
      </c>
      <c r="H42">
        <v>2.23</v>
      </c>
      <c r="I42">
        <v>21.1</v>
      </c>
      <c r="J42">
        <v>42.7</v>
      </c>
      <c r="K42">
        <f>J42-F42</f>
        <v>2.7899999999999991</v>
      </c>
      <c r="L42">
        <v>41.76</v>
      </c>
      <c r="M42" s="1">
        <f t="shared" si="3"/>
        <v>0.94000000000000483</v>
      </c>
      <c r="N42">
        <f t="shared" si="2"/>
        <v>66.308243727598381</v>
      </c>
    </row>
    <row r="43" spans="1:14" x14ac:dyDescent="0.3">
      <c r="A43" t="s">
        <v>12</v>
      </c>
      <c r="B43" t="s">
        <v>10</v>
      </c>
      <c r="C43">
        <v>0</v>
      </c>
      <c r="D43" t="s">
        <v>8</v>
      </c>
      <c r="E43" t="str">
        <f t="shared" si="0"/>
        <v>PA-T2-0c</v>
      </c>
      <c r="F43">
        <f t="shared" si="4"/>
        <v>39.17</v>
      </c>
      <c r="G43">
        <v>41.36</v>
      </c>
      <c r="H43">
        <v>2.19</v>
      </c>
      <c r="I43">
        <v>20.72</v>
      </c>
      <c r="J43">
        <v>41.96</v>
      </c>
      <c r="K43">
        <f>J43-F43</f>
        <v>2.7899999999999991</v>
      </c>
      <c r="L43">
        <v>41.01</v>
      </c>
      <c r="M43" s="1">
        <f t="shared" si="3"/>
        <v>0.95000000000000284</v>
      </c>
      <c r="N43">
        <f t="shared" si="2"/>
        <v>65.94982078853036</v>
      </c>
    </row>
    <row r="44" spans="1:14" x14ac:dyDescent="0.3">
      <c r="A44" t="s">
        <v>12</v>
      </c>
      <c r="B44" t="s">
        <v>11</v>
      </c>
      <c r="C44">
        <v>0</v>
      </c>
      <c r="D44" t="s">
        <v>6</v>
      </c>
      <c r="E44" t="str">
        <f t="shared" si="0"/>
        <v>PA-T3-0a</v>
      </c>
      <c r="F44">
        <f t="shared" si="4"/>
        <v>41.8</v>
      </c>
      <c r="G44">
        <v>44</v>
      </c>
      <c r="H44">
        <v>2.2000000000000002</v>
      </c>
      <c r="I44">
        <v>20.39</v>
      </c>
      <c r="J44">
        <v>44.61</v>
      </c>
      <c r="K44">
        <f>J44-F44</f>
        <v>2.8100000000000023</v>
      </c>
      <c r="L44">
        <v>43.56</v>
      </c>
      <c r="M44" s="1">
        <f t="shared" si="3"/>
        <v>1.0499999999999972</v>
      </c>
      <c r="N44">
        <f t="shared" si="2"/>
        <v>62.633451957295506</v>
      </c>
    </row>
    <row r="45" spans="1:14" x14ac:dyDescent="0.3">
      <c r="A45" t="s">
        <v>12</v>
      </c>
      <c r="B45" t="s">
        <v>11</v>
      </c>
      <c r="C45">
        <v>0</v>
      </c>
      <c r="D45" t="s">
        <v>7</v>
      </c>
      <c r="E45" t="str">
        <f t="shared" si="0"/>
        <v>PA-T3-0b</v>
      </c>
      <c r="F45">
        <f t="shared" si="4"/>
        <v>41.78</v>
      </c>
      <c r="G45">
        <v>43.99</v>
      </c>
      <c r="H45">
        <v>2.21</v>
      </c>
      <c r="I45">
        <v>20.6</v>
      </c>
      <c r="J45">
        <v>44.63</v>
      </c>
      <c r="K45">
        <f>J45-F45</f>
        <v>2.8500000000000014</v>
      </c>
      <c r="L45">
        <v>43.6</v>
      </c>
      <c r="M45" s="1">
        <f t="shared" si="3"/>
        <v>1.0300000000000011</v>
      </c>
      <c r="N45">
        <f t="shared" si="2"/>
        <v>63.859649122806992</v>
      </c>
    </row>
    <row r="46" spans="1:14" x14ac:dyDescent="0.3">
      <c r="A46" t="s">
        <v>12</v>
      </c>
      <c r="B46" t="s">
        <v>11</v>
      </c>
      <c r="C46">
        <v>0</v>
      </c>
      <c r="D46" t="s">
        <v>8</v>
      </c>
      <c r="E46" t="str">
        <f t="shared" si="0"/>
        <v>PA-T3-0c</v>
      </c>
      <c r="F46">
        <f t="shared" si="4"/>
        <v>41.800000000000004</v>
      </c>
      <c r="G46">
        <v>44.02</v>
      </c>
      <c r="H46">
        <v>2.2200000000000002</v>
      </c>
      <c r="I46">
        <v>20.81</v>
      </c>
      <c r="J46">
        <v>44.72</v>
      </c>
      <c r="K46">
        <f>J46-F46</f>
        <v>2.9199999999999946</v>
      </c>
      <c r="L46">
        <v>43.66</v>
      </c>
      <c r="M46" s="1">
        <f t="shared" si="3"/>
        <v>1.0600000000000023</v>
      </c>
      <c r="N46">
        <f t="shared" si="2"/>
        <v>63.698630136986154</v>
      </c>
    </row>
    <row r="47" spans="1:14" x14ac:dyDescent="0.3">
      <c r="A47" t="s">
        <v>12</v>
      </c>
      <c r="B47" t="s">
        <v>5</v>
      </c>
      <c r="C47">
        <v>1</v>
      </c>
      <c r="D47" t="s">
        <v>6</v>
      </c>
      <c r="E47" t="str">
        <f t="shared" si="0"/>
        <v>PA-T1-1a</v>
      </c>
      <c r="F47">
        <f t="shared" si="4"/>
        <v>41.760000000000005</v>
      </c>
      <c r="G47">
        <v>43.99</v>
      </c>
      <c r="H47">
        <v>2.23</v>
      </c>
      <c r="I47">
        <v>20.69</v>
      </c>
      <c r="J47">
        <v>44.77</v>
      </c>
      <c r="K47">
        <f>J47-F47</f>
        <v>3.009999999999998</v>
      </c>
      <c r="L47">
        <v>43.66</v>
      </c>
      <c r="M47" s="1">
        <f t="shared" si="3"/>
        <v>1.1100000000000065</v>
      </c>
      <c r="N47">
        <f t="shared" si="2"/>
        <v>63.122923588039626</v>
      </c>
    </row>
    <row r="48" spans="1:14" x14ac:dyDescent="0.3">
      <c r="A48" t="s">
        <v>12</v>
      </c>
      <c r="B48" t="s">
        <v>5</v>
      </c>
      <c r="C48">
        <v>1</v>
      </c>
      <c r="D48" t="s">
        <v>7</v>
      </c>
      <c r="E48" t="str">
        <f t="shared" si="0"/>
        <v>PA-T1-1b</v>
      </c>
      <c r="F48">
        <f t="shared" si="4"/>
        <v>39.18</v>
      </c>
      <c r="G48">
        <v>41.37</v>
      </c>
      <c r="H48">
        <v>2.19</v>
      </c>
      <c r="I48">
        <v>20.63</v>
      </c>
      <c r="J48">
        <v>42</v>
      </c>
      <c r="K48">
        <f>J48-F48</f>
        <v>2.8200000000000003</v>
      </c>
      <c r="L48">
        <v>40.98</v>
      </c>
      <c r="M48" s="1">
        <f t="shared" si="3"/>
        <v>1.0200000000000031</v>
      </c>
      <c r="N48">
        <f t="shared" si="2"/>
        <v>63.829787234042442</v>
      </c>
    </row>
    <row r="49" spans="1:14" x14ac:dyDescent="0.3">
      <c r="A49" t="s">
        <v>12</v>
      </c>
      <c r="B49" t="s">
        <v>5</v>
      </c>
      <c r="C49">
        <v>1</v>
      </c>
      <c r="D49" t="s">
        <v>8</v>
      </c>
      <c r="E49" t="str">
        <f t="shared" si="0"/>
        <v>PA-T1-1c</v>
      </c>
      <c r="F49">
        <f t="shared" si="4"/>
        <v>39.06</v>
      </c>
      <c r="G49">
        <v>41.28</v>
      </c>
      <c r="H49">
        <v>2.2200000000000002</v>
      </c>
      <c r="I49">
        <v>20.399999999999999</v>
      </c>
      <c r="J49">
        <v>41.9</v>
      </c>
      <c r="K49">
        <f>J49-F49</f>
        <v>2.8399999999999963</v>
      </c>
      <c r="L49">
        <v>40.89</v>
      </c>
      <c r="M49" s="1">
        <f t="shared" si="3"/>
        <v>1.009999999999998</v>
      </c>
      <c r="N49">
        <f t="shared" si="2"/>
        <v>64.436619718309885</v>
      </c>
    </row>
    <row r="50" spans="1:14" x14ac:dyDescent="0.3">
      <c r="A50" t="s">
        <v>12</v>
      </c>
      <c r="B50" t="s">
        <v>10</v>
      </c>
      <c r="C50">
        <v>1</v>
      </c>
      <c r="D50" t="s">
        <v>6</v>
      </c>
      <c r="E50" t="str">
        <f t="shared" si="0"/>
        <v>PA-T2-1a</v>
      </c>
      <c r="F50">
        <f t="shared" si="4"/>
        <v>39.01</v>
      </c>
      <c r="G50">
        <v>41.22</v>
      </c>
      <c r="H50">
        <v>2.21</v>
      </c>
      <c r="I50">
        <v>20.309999999999999</v>
      </c>
      <c r="J50">
        <v>41.81</v>
      </c>
      <c r="K50">
        <f>J50-F50</f>
        <v>2.8000000000000043</v>
      </c>
      <c r="L50">
        <v>40.81</v>
      </c>
      <c r="M50" s="1">
        <f t="shared" si="3"/>
        <v>1</v>
      </c>
      <c r="N50">
        <f t="shared" si="2"/>
        <v>64.285714285714334</v>
      </c>
    </row>
    <row r="51" spans="1:14" x14ac:dyDescent="0.3">
      <c r="A51" t="s">
        <v>12</v>
      </c>
      <c r="B51" t="s">
        <v>10</v>
      </c>
      <c r="C51">
        <v>1</v>
      </c>
      <c r="D51" t="s">
        <v>7</v>
      </c>
      <c r="E51" t="str">
        <f t="shared" si="0"/>
        <v>PA-T2-1b</v>
      </c>
      <c r="F51">
        <f t="shared" si="4"/>
        <v>39.96</v>
      </c>
      <c r="G51">
        <v>42.17</v>
      </c>
      <c r="H51">
        <v>2.21</v>
      </c>
      <c r="I51">
        <v>20.6</v>
      </c>
      <c r="J51">
        <v>42.79</v>
      </c>
      <c r="K51">
        <f>J51-F51</f>
        <v>2.8299999999999983</v>
      </c>
      <c r="L51">
        <v>41.81</v>
      </c>
      <c r="M51" s="1">
        <f t="shared" si="3"/>
        <v>0.97999999999999687</v>
      </c>
      <c r="N51">
        <f t="shared" si="2"/>
        <v>65.371024734982413</v>
      </c>
    </row>
    <row r="52" spans="1:14" x14ac:dyDescent="0.3">
      <c r="A52" t="s">
        <v>12</v>
      </c>
      <c r="B52" t="s">
        <v>10</v>
      </c>
      <c r="C52">
        <v>1</v>
      </c>
      <c r="D52" t="s">
        <v>8</v>
      </c>
      <c r="E52" t="str">
        <f t="shared" si="0"/>
        <v>PA-T2-1c</v>
      </c>
      <c r="F52">
        <f t="shared" si="4"/>
        <v>41.74</v>
      </c>
      <c r="G52">
        <v>43.96</v>
      </c>
      <c r="H52">
        <v>2.2200000000000002</v>
      </c>
      <c r="I52">
        <v>20.9</v>
      </c>
      <c r="J52">
        <v>44.59</v>
      </c>
      <c r="K52">
        <f>J52-F52</f>
        <v>2.8500000000000014</v>
      </c>
      <c r="L52">
        <v>43.57</v>
      </c>
      <c r="M52" s="1">
        <f t="shared" si="3"/>
        <v>1.0200000000000031</v>
      </c>
      <c r="N52">
        <f t="shared" si="2"/>
        <v>64.21052631578938</v>
      </c>
    </row>
    <row r="53" spans="1:14" x14ac:dyDescent="0.3">
      <c r="A53" t="s">
        <v>12</v>
      </c>
      <c r="B53" t="s">
        <v>11</v>
      </c>
      <c r="C53">
        <v>1</v>
      </c>
      <c r="D53" t="s">
        <v>6</v>
      </c>
      <c r="E53" t="str">
        <f t="shared" si="0"/>
        <v>PA-T3-1a</v>
      </c>
      <c r="F53">
        <f t="shared" si="4"/>
        <v>41.75</v>
      </c>
      <c r="G53">
        <v>43.94</v>
      </c>
      <c r="H53">
        <v>2.19</v>
      </c>
      <c r="I53">
        <v>21.26</v>
      </c>
      <c r="J53">
        <v>44.69</v>
      </c>
      <c r="K53">
        <f>J53-F53</f>
        <v>2.9399999999999977</v>
      </c>
      <c r="L53">
        <v>43.68</v>
      </c>
      <c r="M53" s="1">
        <f t="shared" si="3"/>
        <v>1.009999999999998</v>
      </c>
      <c r="N53">
        <f t="shared" si="2"/>
        <v>65.646258503401398</v>
      </c>
    </row>
    <row r="54" spans="1:14" x14ac:dyDescent="0.3">
      <c r="A54" t="s">
        <v>12</v>
      </c>
      <c r="B54" t="s">
        <v>11</v>
      </c>
      <c r="C54">
        <v>1</v>
      </c>
      <c r="D54" t="s">
        <v>7</v>
      </c>
      <c r="E54" t="str">
        <f t="shared" si="0"/>
        <v>PA-T3-1b</v>
      </c>
      <c r="F54">
        <f t="shared" si="4"/>
        <v>41.86</v>
      </c>
      <c r="G54">
        <v>44.04</v>
      </c>
      <c r="H54">
        <v>2.1800000000000002</v>
      </c>
      <c r="I54">
        <v>20.149999999999999</v>
      </c>
      <c r="J54">
        <v>44.66</v>
      </c>
      <c r="K54">
        <f>J54-F54</f>
        <v>2.7999999999999972</v>
      </c>
      <c r="L54">
        <v>43.66</v>
      </c>
      <c r="M54" s="1">
        <f t="shared" si="3"/>
        <v>1</v>
      </c>
      <c r="N54">
        <f t="shared" si="2"/>
        <v>64.285714285714249</v>
      </c>
    </row>
    <row r="55" spans="1:14" x14ac:dyDescent="0.3">
      <c r="A55" t="s">
        <v>12</v>
      </c>
      <c r="B55" t="s">
        <v>11</v>
      </c>
      <c r="C55">
        <v>1</v>
      </c>
      <c r="D55" t="s">
        <v>8</v>
      </c>
      <c r="E55" t="str">
        <f t="shared" si="0"/>
        <v>PA-T3-1c</v>
      </c>
      <c r="F55">
        <f t="shared" si="4"/>
        <v>39.089999999999996</v>
      </c>
      <c r="G55">
        <v>41.3</v>
      </c>
      <c r="H55">
        <v>2.21</v>
      </c>
      <c r="I55">
        <v>20.51</v>
      </c>
      <c r="J55">
        <v>41.9</v>
      </c>
      <c r="K55">
        <f>J55-F55</f>
        <v>2.8100000000000023</v>
      </c>
      <c r="L55">
        <v>40.9</v>
      </c>
      <c r="M55" s="1">
        <f t="shared" si="3"/>
        <v>1</v>
      </c>
      <c r="N55">
        <f t="shared" si="2"/>
        <v>64.412811387900376</v>
      </c>
    </row>
    <row r="56" spans="1:14" x14ac:dyDescent="0.3">
      <c r="A56" t="s">
        <v>12</v>
      </c>
      <c r="B56" t="s">
        <v>5</v>
      </c>
      <c r="C56">
        <v>3</v>
      </c>
      <c r="D56" t="s">
        <v>6</v>
      </c>
      <c r="E56" t="str">
        <f t="shared" si="0"/>
        <v>PA-T1-3a</v>
      </c>
      <c r="F56">
        <f t="shared" si="4"/>
        <v>39.89</v>
      </c>
      <c r="G56">
        <v>42.06</v>
      </c>
      <c r="H56">
        <v>2.17</v>
      </c>
      <c r="I56">
        <v>20.62</v>
      </c>
      <c r="J56">
        <v>42.73</v>
      </c>
      <c r="K56">
        <f>J56-F56</f>
        <v>2.8399999999999963</v>
      </c>
      <c r="L56">
        <v>41.74</v>
      </c>
      <c r="M56" s="1">
        <f t="shared" si="3"/>
        <v>0.98999999999999488</v>
      </c>
      <c r="N56">
        <f t="shared" si="2"/>
        <v>65.140845070422671</v>
      </c>
    </row>
    <row r="57" spans="1:14" x14ac:dyDescent="0.3">
      <c r="A57" t="s">
        <v>12</v>
      </c>
      <c r="B57" t="s">
        <v>5</v>
      </c>
      <c r="C57">
        <v>3</v>
      </c>
      <c r="D57" t="s">
        <v>7</v>
      </c>
      <c r="E57" t="str">
        <f t="shared" si="0"/>
        <v>PA-T1-3b</v>
      </c>
      <c r="F57">
        <f t="shared" si="4"/>
        <v>39.93</v>
      </c>
      <c r="G57">
        <v>42.15</v>
      </c>
      <c r="H57">
        <v>2.2200000000000002</v>
      </c>
      <c r="I57">
        <v>20.61</v>
      </c>
      <c r="J57">
        <v>42.84</v>
      </c>
      <c r="K57">
        <f>J57-F57</f>
        <v>2.9100000000000037</v>
      </c>
      <c r="L57">
        <v>41.8</v>
      </c>
      <c r="M57" s="1">
        <f t="shared" si="3"/>
        <v>1.0400000000000063</v>
      </c>
      <c r="N57">
        <f t="shared" si="2"/>
        <v>64.261168384879554</v>
      </c>
    </row>
    <row r="58" spans="1:14" x14ac:dyDescent="0.3">
      <c r="A58" t="s">
        <v>12</v>
      </c>
      <c r="B58" t="s">
        <v>5</v>
      </c>
      <c r="C58">
        <v>3</v>
      </c>
      <c r="D58" t="s">
        <v>8</v>
      </c>
      <c r="E58" t="str">
        <f t="shared" si="0"/>
        <v>PA-T1-3c</v>
      </c>
      <c r="F58">
        <f t="shared" si="4"/>
        <v>41.739999999999995</v>
      </c>
      <c r="G58">
        <v>43.94</v>
      </c>
      <c r="H58">
        <v>2.2000000000000002</v>
      </c>
      <c r="I58">
        <v>20.309999999999999</v>
      </c>
      <c r="J58">
        <v>44.64</v>
      </c>
      <c r="K58">
        <f>J58-F58</f>
        <v>2.9000000000000057</v>
      </c>
      <c r="L58">
        <v>43.58</v>
      </c>
      <c r="M58" s="1">
        <f t="shared" si="3"/>
        <v>1.0600000000000023</v>
      </c>
      <c r="N58">
        <f t="shared" si="2"/>
        <v>63.448275862068961</v>
      </c>
    </row>
    <row r="59" spans="1:14" x14ac:dyDescent="0.3">
      <c r="A59" t="s">
        <v>12</v>
      </c>
      <c r="B59" t="s">
        <v>10</v>
      </c>
      <c r="C59">
        <v>3</v>
      </c>
      <c r="D59" t="s">
        <v>6</v>
      </c>
      <c r="E59" t="str">
        <f t="shared" si="0"/>
        <v>PA-T2-3a</v>
      </c>
      <c r="F59">
        <f t="shared" si="4"/>
        <v>39.119999999999997</v>
      </c>
      <c r="G59">
        <v>41.32</v>
      </c>
      <c r="H59">
        <v>2.2000000000000002</v>
      </c>
      <c r="I59">
        <v>20.2</v>
      </c>
      <c r="J59">
        <v>41.91</v>
      </c>
      <c r="K59">
        <f>J59-F59</f>
        <v>2.7899999999999991</v>
      </c>
      <c r="L59">
        <v>40.96</v>
      </c>
      <c r="M59" s="1">
        <f t="shared" si="3"/>
        <v>0.94999999999999574</v>
      </c>
      <c r="N59">
        <f t="shared" si="2"/>
        <v>65.949820788530616</v>
      </c>
    </row>
    <row r="60" spans="1:14" x14ac:dyDescent="0.3">
      <c r="A60" t="s">
        <v>12</v>
      </c>
      <c r="B60" t="s">
        <v>10</v>
      </c>
      <c r="C60">
        <v>3</v>
      </c>
      <c r="D60" t="s">
        <v>7</v>
      </c>
      <c r="E60" t="str">
        <f t="shared" si="0"/>
        <v>PA-T2-3b</v>
      </c>
      <c r="F60">
        <f t="shared" si="4"/>
        <v>41.769999999999996</v>
      </c>
      <c r="G60">
        <v>43.97</v>
      </c>
      <c r="H60">
        <v>2.2000000000000002</v>
      </c>
      <c r="I60">
        <v>20.2</v>
      </c>
      <c r="J60">
        <v>44.59</v>
      </c>
      <c r="K60">
        <f>J60-F60</f>
        <v>2.8200000000000074</v>
      </c>
      <c r="L60">
        <v>43.57</v>
      </c>
      <c r="M60" s="1">
        <f t="shared" si="3"/>
        <v>1.0200000000000031</v>
      </c>
      <c r="N60">
        <f t="shared" si="2"/>
        <v>63.829787234042534</v>
      </c>
    </row>
    <row r="61" spans="1:14" x14ac:dyDescent="0.3">
      <c r="A61" t="s">
        <v>12</v>
      </c>
      <c r="B61" t="s">
        <v>10</v>
      </c>
      <c r="C61">
        <v>3</v>
      </c>
      <c r="D61" t="s">
        <v>8</v>
      </c>
      <c r="E61" t="str">
        <f t="shared" si="0"/>
        <v>PA-T2-3c</v>
      </c>
      <c r="F61">
        <f t="shared" si="4"/>
        <v>41.79</v>
      </c>
      <c r="G61">
        <v>43.98</v>
      </c>
      <c r="H61">
        <v>2.19</v>
      </c>
      <c r="I61">
        <v>20.02</v>
      </c>
      <c r="J61">
        <v>44.6</v>
      </c>
      <c r="K61">
        <f>J61-F61</f>
        <v>2.8100000000000023</v>
      </c>
      <c r="L61">
        <v>43.59</v>
      </c>
      <c r="M61" s="1">
        <f t="shared" si="3"/>
        <v>1.009999999999998</v>
      </c>
      <c r="N61">
        <f t="shared" si="2"/>
        <v>64.056939501779468</v>
      </c>
    </row>
    <row r="62" spans="1:14" x14ac:dyDescent="0.3">
      <c r="A62" t="s">
        <v>12</v>
      </c>
      <c r="B62" t="s">
        <v>11</v>
      </c>
      <c r="C62">
        <v>3</v>
      </c>
      <c r="D62" t="s">
        <v>6</v>
      </c>
      <c r="E62" t="str">
        <f t="shared" si="0"/>
        <v>PA-T3-3a</v>
      </c>
      <c r="F62">
        <f t="shared" si="4"/>
        <v>41.76</v>
      </c>
      <c r="G62">
        <v>43.94</v>
      </c>
      <c r="H62">
        <v>2.1800000000000002</v>
      </c>
      <c r="I62">
        <v>20</v>
      </c>
      <c r="J62">
        <v>44.5</v>
      </c>
      <c r="K62">
        <f>J62-F62</f>
        <v>2.740000000000002</v>
      </c>
      <c r="L62">
        <v>43.52</v>
      </c>
      <c r="M62" s="1">
        <f t="shared" si="3"/>
        <v>0.97999999999999687</v>
      </c>
      <c r="N62">
        <f t="shared" si="2"/>
        <v>64.233576642335905</v>
      </c>
    </row>
    <row r="63" spans="1:14" x14ac:dyDescent="0.3">
      <c r="A63" t="s">
        <v>12</v>
      </c>
      <c r="B63" t="s">
        <v>11</v>
      </c>
      <c r="C63">
        <v>3</v>
      </c>
      <c r="D63" t="s">
        <v>7</v>
      </c>
      <c r="E63" t="str">
        <f t="shared" si="0"/>
        <v>PA-T3-3b</v>
      </c>
      <c r="F63">
        <f t="shared" si="4"/>
        <v>39.89</v>
      </c>
      <c r="G63">
        <v>42.04</v>
      </c>
      <c r="H63">
        <v>2.15</v>
      </c>
      <c r="I63">
        <v>20.87</v>
      </c>
      <c r="J63">
        <v>42.76</v>
      </c>
      <c r="K63">
        <f>J63-F63</f>
        <v>2.8699999999999974</v>
      </c>
      <c r="L63">
        <v>41.74</v>
      </c>
      <c r="M63" s="1">
        <f t="shared" si="3"/>
        <v>1.019999999999996</v>
      </c>
      <c r="N63">
        <f t="shared" si="2"/>
        <v>64.459930313588956</v>
      </c>
    </row>
    <row r="64" spans="1:14" x14ac:dyDescent="0.3">
      <c r="A64" t="s">
        <v>12</v>
      </c>
      <c r="B64" t="s">
        <v>11</v>
      </c>
      <c r="C64">
        <v>3</v>
      </c>
      <c r="D64" t="s">
        <v>8</v>
      </c>
      <c r="E64" t="str">
        <f t="shared" si="0"/>
        <v>PA-T3-3c</v>
      </c>
      <c r="F64">
        <f t="shared" si="4"/>
        <v>41.8</v>
      </c>
      <c r="G64">
        <v>44.04</v>
      </c>
      <c r="H64">
        <v>2.2400000000000002</v>
      </c>
      <c r="I64">
        <v>20.68</v>
      </c>
      <c r="J64">
        <v>44.71</v>
      </c>
      <c r="K64">
        <f>J64-F64</f>
        <v>2.9100000000000037</v>
      </c>
      <c r="L64">
        <v>43.68</v>
      </c>
      <c r="M64" s="1">
        <f t="shared" si="3"/>
        <v>1.0300000000000011</v>
      </c>
      <c r="N64">
        <f t="shared" si="2"/>
        <v>64.604810996563572</v>
      </c>
    </row>
    <row r="65" spans="1:14" x14ac:dyDescent="0.3">
      <c r="A65" t="s">
        <v>12</v>
      </c>
      <c r="B65" t="s">
        <v>5</v>
      </c>
      <c r="C65">
        <v>7</v>
      </c>
      <c r="D65" t="s">
        <v>6</v>
      </c>
      <c r="E65" t="str">
        <f t="shared" si="0"/>
        <v>PA-T1-7a</v>
      </c>
      <c r="F65">
        <f t="shared" si="4"/>
        <v>39.04</v>
      </c>
      <c r="G65">
        <v>41.21</v>
      </c>
      <c r="H65">
        <v>2.17</v>
      </c>
      <c r="I65">
        <v>20.399999999999999</v>
      </c>
      <c r="J65">
        <v>41.95</v>
      </c>
      <c r="K65">
        <f>J65-F65</f>
        <v>2.9100000000000037</v>
      </c>
      <c r="L65">
        <v>40.93</v>
      </c>
      <c r="M65" s="1">
        <f t="shared" si="3"/>
        <v>1.0200000000000031</v>
      </c>
      <c r="N65">
        <f t="shared" si="2"/>
        <v>64.948453608247362</v>
      </c>
    </row>
    <row r="66" spans="1:14" x14ac:dyDescent="0.3">
      <c r="A66" t="s">
        <v>12</v>
      </c>
      <c r="B66" t="s">
        <v>5</v>
      </c>
      <c r="C66">
        <v>7</v>
      </c>
      <c r="D66" t="s">
        <v>7</v>
      </c>
      <c r="E66" t="str">
        <f t="shared" si="0"/>
        <v>PA-T1-7b</v>
      </c>
      <c r="F66">
        <f t="shared" si="4"/>
        <v>41.779999999999994</v>
      </c>
      <c r="G66">
        <v>43.98</v>
      </c>
      <c r="H66">
        <v>2.2000000000000002</v>
      </c>
      <c r="I66">
        <v>20.59</v>
      </c>
      <c r="J66">
        <v>44.57</v>
      </c>
      <c r="K66">
        <f>J66-F66</f>
        <v>2.7900000000000063</v>
      </c>
      <c r="L66">
        <v>43.5</v>
      </c>
      <c r="M66" s="1">
        <f t="shared" si="3"/>
        <v>1.0700000000000003</v>
      </c>
      <c r="N66">
        <f t="shared" si="2"/>
        <v>61.64874551971333</v>
      </c>
    </row>
    <row r="67" spans="1:14" x14ac:dyDescent="0.3">
      <c r="A67" t="s">
        <v>12</v>
      </c>
      <c r="B67" t="s">
        <v>5</v>
      </c>
      <c r="C67">
        <v>7</v>
      </c>
      <c r="D67" t="s">
        <v>8</v>
      </c>
      <c r="E67" t="str">
        <f t="shared" ref="E67:E73" si="5">CONCATENATE(A67,"-",B67,"-",C67,"",D67)</f>
        <v>PA-T1-7c</v>
      </c>
      <c r="F67">
        <f t="shared" si="4"/>
        <v>41.839999999999996</v>
      </c>
      <c r="G67">
        <v>44.05</v>
      </c>
      <c r="H67">
        <v>2.21</v>
      </c>
      <c r="I67">
        <v>20.149999999999999</v>
      </c>
      <c r="J67">
        <v>44.69</v>
      </c>
      <c r="K67">
        <f>J67-F67</f>
        <v>2.8500000000000014</v>
      </c>
      <c r="L67">
        <v>43.7</v>
      </c>
      <c r="M67" s="1">
        <f t="shared" si="3"/>
        <v>0.98999999999999488</v>
      </c>
      <c r="N67">
        <f t="shared" ref="N67:N73" si="6">((K67-M67)/K67)*100</f>
        <v>65.263157894737034</v>
      </c>
    </row>
    <row r="68" spans="1:14" x14ac:dyDescent="0.3">
      <c r="A68" t="s">
        <v>12</v>
      </c>
      <c r="B68" t="s">
        <v>10</v>
      </c>
      <c r="C68">
        <v>7</v>
      </c>
      <c r="D68" t="s">
        <v>6</v>
      </c>
      <c r="E68" t="str">
        <f t="shared" si="5"/>
        <v>PA-T2-7a</v>
      </c>
      <c r="F68">
        <f t="shared" si="4"/>
        <v>41.769999999999996</v>
      </c>
      <c r="G68">
        <v>44.01</v>
      </c>
      <c r="H68">
        <v>2.2400000000000002</v>
      </c>
      <c r="I68">
        <v>20.59</v>
      </c>
      <c r="J68">
        <v>44.74</v>
      </c>
      <c r="K68">
        <f>J68-F68</f>
        <v>2.970000000000006</v>
      </c>
      <c r="L68">
        <v>43.72</v>
      </c>
      <c r="M68" s="1">
        <f t="shared" si="3"/>
        <v>1.0200000000000031</v>
      </c>
      <c r="N68">
        <f t="shared" si="6"/>
        <v>65.656565656565618</v>
      </c>
    </row>
    <row r="69" spans="1:14" x14ac:dyDescent="0.3">
      <c r="A69" t="s">
        <v>12</v>
      </c>
      <c r="B69" t="s">
        <v>10</v>
      </c>
      <c r="C69">
        <v>7</v>
      </c>
      <c r="D69" t="s">
        <v>7</v>
      </c>
      <c r="E69" t="str">
        <f t="shared" si="5"/>
        <v>PA-T2-7b</v>
      </c>
      <c r="F69">
        <f t="shared" si="4"/>
        <v>39.950000000000003</v>
      </c>
      <c r="G69">
        <v>42.18</v>
      </c>
      <c r="H69">
        <v>2.23</v>
      </c>
      <c r="I69">
        <v>20.32</v>
      </c>
      <c r="J69">
        <v>42.86</v>
      </c>
      <c r="K69">
        <f>J69-F69</f>
        <v>2.9099999999999966</v>
      </c>
      <c r="L69">
        <v>41.87</v>
      </c>
      <c r="M69" s="1">
        <f t="shared" si="3"/>
        <v>0.99000000000000199</v>
      </c>
      <c r="N69">
        <f t="shared" si="6"/>
        <v>65.979381443298863</v>
      </c>
    </row>
    <row r="70" spans="1:14" x14ac:dyDescent="0.3">
      <c r="A70" t="s">
        <v>12</v>
      </c>
      <c r="B70" t="s">
        <v>10</v>
      </c>
      <c r="C70">
        <v>7</v>
      </c>
      <c r="D70" t="s">
        <v>8</v>
      </c>
      <c r="E70" t="str">
        <f t="shared" si="5"/>
        <v>PA-T2-7c</v>
      </c>
      <c r="F70">
        <f t="shared" si="4"/>
        <v>41.75</v>
      </c>
      <c r="G70">
        <v>43.97</v>
      </c>
      <c r="H70">
        <v>2.2200000000000002</v>
      </c>
      <c r="I70">
        <v>20.43</v>
      </c>
      <c r="J70">
        <v>44.67</v>
      </c>
      <c r="K70">
        <f>J70-F70</f>
        <v>2.9200000000000017</v>
      </c>
      <c r="L70">
        <v>43.68</v>
      </c>
      <c r="M70" s="1">
        <f t="shared" si="3"/>
        <v>0.99000000000000199</v>
      </c>
      <c r="N70">
        <f t="shared" si="6"/>
        <v>66.095890410958859</v>
      </c>
    </row>
    <row r="71" spans="1:14" x14ac:dyDescent="0.3">
      <c r="A71" t="s">
        <v>12</v>
      </c>
      <c r="B71" t="s">
        <v>11</v>
      </c>
      <c r="C71">
        <v>7</v>
      </c>
      <c r="D71" t="s">
        <v>6</v>
      </c>
      <c r="E71" t="str">
        <f t="shared" si="5"/>
        <v>PA-T3-7a</v>
      </c>
      <c r="F71">
        <f t="shared" si="4"/>
        <v>41.88</v>
      </c>
      <c r="G71">
        <v>44.09</v>
      </c>
      <c r="H71">
        <v>2.21</v>
      </c>
      <c r="I71">
        <v>20.73</v>
      </c>
      <c r="J71">
        <v>44.84</v>
      </c>
      <c r="K71">
        <f>J71-F71</f>
        <v>2.9600000000000009</v>
      </c>
      <c r="L71">
        <v>43.81</v>
      </c>
      <c r="M71" s="1">
        <f t="shared" si="3"/>
        <v>1.0300000000000011</v>
      </c>
      <c r="N71">
        <f t="shared" si="6"/>
        <v>65.20270270270268</v>
      </c>
    </row>
    <row r="72" spans="1:14" x14ac:dyDescent="0.3">
      <c r="A72" t="s">
        <v>12</v>
      </c>
      <c r="B72" t="s">
        <v>11</v>
      </c>
      <c r="C72">
        <v>7</v>
      </c>
      <c r="D72" t="s">
        <v>7</v>
      </c>
      <c r="E72" t="str">
        <f t="shared" si="5"/>
        <v>PA-T3-7b</v>
      </c>
      <c r="F72">
        <f t="shared" si="4"/>
        <v>39.940000000000005</v>
      </c>
      <c r="G72">
        <v>42.13</v>
      </c>
      <c r="H72">
        <v>2.19</v>
      </c>
      <c r="I72">
        <v>20.170000000000002</v>
      </c>
      <c r="J72">
        <v>42.81</v>
      </c>
      <c r="K72">
        <f>J72-F72</f>
        <v>2.8699999999999974</v>
      </c>
      <c r="L72">
        <v>41.83</v>
      </c>
      <c r="M72" s="1">
        <f t="shared" si="3"/>
        <v>0.98000000000000398</v>
      </c>
      <c r="N72">
        <f t="shared" si="6"/>
        <v>65.853658536585201</v>
      </c>
    </row>
    <row r="73" spans="1:14" x14ac:dyDescent="0.3">
      <c r="A73" t="s">
        <v>12</v>
      </c>
      <c r="B73" t="s">
        <v>11</v>
      </c>
      <c r="C73">
        <v>7</v>
      </c>
      <c r="D73" t="s">
        <v>8</v>
      </c>
      <c r="E73" t="str">
        <f t="shared" si="5"/>
        <v>PA-T3-7c</v>
      </c>
      <c r="F73">
        <f t="shared" si="4"/>
        <v>41.84</v>
      </c>
      <c r="G73">
        <v>44.03</v>
      </c>
      <c r="H73">
        <v>2.19</v>
      </c>
      <c r="I73">
        <v>20.56</v>
      </c>
      <c r="J73">
        <v>44.82</v>
      </c>
      <c r="K73">
        <f>J73-F73</f>
        <v>2.9799999999999969</v>
      </c>
      <c r="L73">
        <v>43.81</v>
      </c>
      <c r="M73" s="1">
        <f t="shared" si="3"/>
        <v>1.009999999999998</v>
      </c>
      <c r="N73">
        <f t="shared" si="6"/>
        <v>66.107382550335601</v>
      </c>
    </row>
  </sheetData>
  <sortState xmlns:xlrd2="http://schemas.microsoft.com/office/spreadsheetml/2017/richdata2" ref="A2:I80">
    <sortCondition ref="A2:A80" customList="TO,PA"/>
    <sortCondition ref="C2:C80"/>
    <sortCondition ref="B2:B8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Carla</dc:creator>
  <cp:lastModifiedBy>Lopez, Carla</cp:lastModifiedBy>
  <dcterms:created xsi:type="dcterms:W3CDTF">2024-08-13T21:34:56Z</dcterms:created>
  <dcterms:modified xsi:type="dcterms:W3CDTF">2024-12-19T13:45:18Z</dcterms:modified>
</cp:coreProperties>
</file>